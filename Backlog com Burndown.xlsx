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xr:revisionPtr revIDLastSave="0" documentId="8_{5A717132-CC52-44A8-87EE-CBF5486D7DAF}" xr6:coauthVersionLast="47" xr6:coauthVersionMax="47" xr10:uidLastSave="{00000000-0000-0000-0000-000000000000}"/>
  <bookViews>
    <workbookView xWindow="240" yWindow="105" windowWidth="14805" windowHeight="8010" firstSheet="5" activeTab="2" xr2:uid="{00000000-000D-0000-FFFF-FFFF00000000}"/>
  </bookViews>
  <sheets>
    <sheet name="Planilha1" sheetId="3" state="hidden" r:id="rId1"/>
    <sheet name="Backlog Geral" sheetId="1" r:id="rId2"/>
    <sheet name="SPT3" sheetId="6" r:id="rId3"/>
    <sheet name="SPT2" sheetId="5" r:id="rId4"/>
    <sheet name="SPT1" sheetId="4" r:id="rId5"/>
    <sheet name="Burndown" sheetId="2" r:id="rId6"/>
  </sheets>
  <calcPr calcId="191028"/>
  <pivotCaches>
    <pivotCache cacheId="27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2" l="1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K2" i="1"/>
  <c r="E30" i="2" l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58" i="2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N5" i="2" s="1"/>
  <c r="N4" i="2"/>
  <c r="F31" i="2" l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N3" i="2"/>
</calcChain>
</file>

<file path=xl/sharedStrings.xml><?xml version="1.0" encoding="utf-8"?>
<sst xmlns="http://schemas.openxmlformats.org/spreadsheetml/2006/main" count="860" uniqueCount="214">
  <si>
    <t>Requisitos</t>
  </si>
  <si>
    <t>Descrição</t>
  </si>
  <si>
    <t>Classificação</t>
  </si>
  <si>
    <t>Data</t>
  </si>
  <si>
    <t>Responsáveis</t>
  </si>
  <si>
    <t>Tipo Sprint</t>
  </si>
  <si>
    <t>Sprint</t>
  </si>
  <si>
    <t>Pesos</t>
  </si>
  <si>
    <t>Fibonacci</t>
  </si>
  <si>
    <t>Total do Fibonacci</t>
  </si>
  <si>
    <t>Integrantes</t>
  </si>
  <si>
    <t>Ex-integrantes</t>
  </si>
  <si>
    <t>Criar as tabelas do banco de dados</t>
  </si>
  <si>
    <t>Criar Tables: Usuarios, Container,Registros e Empresa</t>
  </si>
  <si>
    <t>Essencial</t>
  </si>
  <si>
    <t>Sem informação</t>
  </si>
  <si>
    <t>Sem classificação</t>
  </si>
  <si>
    <t>SPT1</t>
  </si>
  <si>
    <t>PP</t>
  </si>
  <si>
    <t>Anderson Francisco Santos de Oliveira</t>
  </si>
  <si>
    <t>Arthur Vitorio Rocha</t>
  </si>
  <si>
    <t>Popular a tabela com dados</t>
  </si>
  <si>
    <t>Inserir registros nas tabelas criadas</t>
  </si>
  <si>
    <t>P</t>
  </si>
  <si>
    <t>Gabriel Vellenick Zanotti</t>
  </si>
  <si>
    <t>Douglas Henrique De Campos Alves</t>
  </si>
  <si>
    <t>Criar script de consulta pro banco de dados</t>
  </si>
  <si>
    <t>Fazer scripts de consulta (SELECT) no banco de dados</t>
  </si>
  <si>
    <t>Gus Kenzo Shigeoka Paulino</t>
  </si>
  <si>
    <t>Gabriel Galhiardo Farina</t>
  </si>
  <si>
    <t xml:space="preserve">Fazer tela com um simulador financeiro </t>
  </si>
  <si>
    <t>Fazer um simulador financeiro com base na regra de negócio. "O projeto irá economizar...", "O projeto gerará um lucro de..."</t>
  </si>
  <si>
    <t>M</t>
  </si>
  <si>
    <t>Gustavo Lima de Araujo</t>
  </si>
  <si>
    <t>Leonardo Werner Silva</t>
  </si>
  <si>
    <t>Criar e configurar trello</t>
  </si>
  <si>
    <t>Criar 3 cards: a fazer, em andamento, concluido</t>
  </si>
  <si>
    <t>Luiz Carlos Duarte Silva</t>
  </si>
  <si>
    <t>Joao Pedro Dos Santos Alves</t>
  </si>
  <si>
    <t>Criar as tarefas e organiza-las nos seus respectivos cards</t>
  </si>
  <si>
    <t>Criação de Cards: A fazer, Em andamento e Concluído. para melhor organização de requisitos</t>
  </si>
  <si>
    <t>Marcus Brenno de Souza Lima</t>
  </si>
  <si>
    <t>Jonatas Pereira Teles</t>
  </si>
  <si>
    <t>Criar documentação do projeto</t>
  </si>
  <si>
    <t>Documentar o contexto, objetivo, justificativa, escopo, premissas, restrições</t>
  </si>
  <si>
    <t>Configarar projeto no GitHub</t>
  </si>
  <si>
    <t xml:space="preserve">Criação da organização Til-Ice e readme no github </t>
  </si>
  <si>
    <t>Criar prototipo no figma.</t>
  </si>
  <si>
    <t>Criar telas de main, equipe, sobre nós e localização</t>
  </si>
  <si>
    <t>Criar diagrama de visão de negocio</t>
  </si>
  <si>
    <t>Montar um diagrama objetivo, simples, bem estilizado e profissional.</t>
  </si>
  <si>
    <t>Montar arduino</t>
  </si>
  <si>
    <t>Fazer a ligação do sensor no arduino com jumpers</t>
  </si>
  <si>
    <t>Configurar ambiente para o funcionamento do arduino</t>
  </si>
  <si>
    <t>Baixar e instalar o aplicativo ARDUINO IDE, após isso colocar o código para o funcionamento do mesmo.</t>
  </si>
  <si>
    <t xml:space="preserve">Criar codigo para o arduino </t>
  </si>
  <si>
    <t>Rodar o código do sensor no Arduino</t>
  </si>
  <si>
    <t>Configurar ambiente para virtualização no virtualBox</t>
  </si>
  <si>
    <t>Fazer o download da iso lubunto  e iniciar o SO no hipervisor (Virtual Box), configurando quantidade de Memoria RAM, Memoria de massa e Nucleos.</t>
  </si>
  <si>
    <t>Executar comandos no SO selecionado</t>
  </si>
  <si>
    <t>Saber fazer os comando básicos no SO (cd, ls,mkdir, pwd) e etc</t>
  </si>
  <si>
    <t>Criar Tela de cadastro de usuario no protótipo</t>
  </si>
  <si>
    <t>Fazer uma tela de cadastro para o usuário inserir seu e-mail, criar senha e confirmar senha. no Protótipo</t>
  </si>
  <si>
    <t>Importante</t>
  </si>
  <si>
    <t>Atualizar ferramenta de gestão</t>
  </si>
  <si>
    <t xml:space="preserve">
Organizar as atividades nas ferramentas de gestão de projeto, adicionando as novas atividades e requisitos da Sprint
</t>
  </si>
  <si>
    <t>17/março</t>
  </si>
  <si>
    <t>Gustavo/Anderson</t>
  </si>
  <si>
    <t>SPT2A</t>
  </si>
  <si>
    <t>SPT2</t>
  </si>
  <si>
    <t>BackLog da Sprint</t>
  </si>
  <si>
    <t xml:space="preserve">
BackLog da Sprint (Demanda, Pontuação, Prioridade)
Atualização das demandas no Backlog Da Sprint
</t>
  </si>
  <si>
    <t>Gus/Gabriel</t>
  </si>
  <si>
    <t>Atualizar Documentação</t>
  </si>
  <si>
    <t xml:space="preserve">
Projetos atualizado no GitHub
Documentação do Projeto Atualizada
</t>
  </si>
  <si>
    <t>Criar documento de regras de condução do projeto</t>
  </si>
  <si>
    <t xml:space="preserve">
Criar uma documentação para as regras de condução do projeto da equipe
</t>
  </si>
  <si>
    <t>Definir padrão para documentos de Ata e Plano de ação</t>
  </si>
  <si>
    <t xml:space="preserve">
Definir padrão um para documentar as Ata e Plano de ação de cada reunião
</t>
  </si>
  <si>
    <t>Luiz/Marcus</t>
  </si>
  <si>
    <t>Criar relacionamento entre as tabelas</t>
  </si>
  <si>
    <t xml:space="preserve">
Realizar o relacionamento dos dados no banco de dados do MySQL
</t>
  </si>
  <si>
    <t>Criar CSS para tela de simulação</t>
  </si>
  <si>
    <t xml:space="preserve">
Fazer uma estilização na tela de simulação utilizando CSS.
</t>
  </si>
  <si>
    <t>Desejável</t>
  </si>
  <si>
    <t>30/março</t>
  </si>
  <si>
    <t>Gabriel/Gus/Luiz</t>
  </si>
  <si>
    <t>SPT2B</t>
  </si>
  <si>
    <t>Modelagem Lógica do Projeto v1</t>
  </si>
  <si>
    <t xml:space="preserve">
Modelagem lógica do projeto e Remodelar o banco e suas tabelas.
</t>
  </si>
  <si>
    <t>Anderson/Gustavo/Marcus</t>
  </si>
  <si>
    <t>Site Institucional - HTML/CSS/JavaScript</t>
  </si>
  <si>
    <t xml:space="preserve">
Site Estático Institucional – Local - HTML/CSS/JavaScript - com conceito de repetições
</t>
  </si>
  <si>
    <t>GG</t>
  </si>
  <si>
    <t>Retrabalhar o Simulador Financeiro</t>
  </si>
  <si>
    <t xml:space="preserve">
Verificar simulador financeiro anterior e fazer alterações com novo CSS, JS e HTML (caso necessário)
</t>
  </si>
  <si>
    <t>Script BD / Tabelas BD loca</t>
  </si>
  <si>
    <t xml:space="preserve">
Script de criação do Banco / Tabelas criadas em BD máquina local
</t>
  </si>
  <si>
    <t>Remodelar o Banco de Dados</t>
  </si>
  <si>
    <t xml:space="preserve">
Juntar todas as tasks relacionadas ao Banco de Dados para término em relatório
</t>
  </si>
  <si>
    <t>Especificação da Dashboard</t>
  </si>
  <si>
    <t xml:space="preserve">
Especificar campos da Dashboard e bater com dados do BD local
</t>
  </si>
  <si>
    <t>07/abril</t>
  </si>
  <si>
    <t>Gabriel</t>
  </si>
  <si>
    <t>SPT2C</t>
  </si>
  <si>
    <t>Atualizar Documentação (feedback professor)</t>
  </si>
  <si>
    <t xml:space="preserve">
Atualizar a Documentação seguido o feedback do professor de TI (Marcos):
“
Siga a sequência: Contexto/Objetivo/Justificativa/Escopo/Premissa/Restrição.
Utilizei mais imagens no Contexto. Foto do Peixe. Fotos do Tanque dos Peixes. Infográficos falando sobre o mercado de criação de peixes no Mundo e no Brasil.
Justificativa. Muito extensa. Foque no que vai convencer o cliente.
“</t>
  </si>
  <si>
    <t>Gustavo</t>
  </si>
  <si>
    <t>Site Cadastro e Login</t>
  </si>
  <si>
    <t xml:space="preserve">
Site Estático Cadastro e Login em máquina Local
</t>
  </si>
  <si>
    <t>Luiz</t>
  </si>
  <si>
    <t>G</t>
  </si>
  <si>
    <t>MySQL na VMLinux</t>
  </si>
  <si>
    <t xml:space="preserve">
Instalação do MySQL no servidor de dados da solução (VMLinux)
</t>
  </si>
  <si>
    <t>Marcus</t>
  </si>
  <si>
    <t>Planilha de Riscos</t>
  </si>
  <si>
    <t xml:space="preserve">
Criar Planilha de Riscos do Projeto com soluções
</t>
  </si>
  <si>
    <t>Gus</t>
  </si>
  <si>
    <t>BurnDown</t>
  </si>
  <si>
    <t xml:space="preserve">
Fazer Burndown do grupo de PI e entregar ao professor de TI
</t>
  </si>
  <si>
    <t>05/abril</t>
  </si>
  <si>
    <t>Atualizar Novas Colunas no BackLog e Responsáveis</t>
  </si>
  <si>
    <t xml:space="preserve">
Atualizar o BackLog colocando os novos requisitos da sprint 2C, configurar o filtro da Sprint 2 no BackLog (excel), adicionar as novas colunas prioridade, tamanho e tamanho em pontos (seguir o modelo FIBONACCI)
</t>
  </si>
  <si>
    <t>Fibonnacci da SPRINT 1</t>
  </si>
  <si>
    <t xml:space="preserve">
Adicionar Pesos relacionados aos entregáveis da Sprint 1, com uma média de acordo com cada um do grupo
</t>
  </si>
  <si>
    <t>Linhas do Backlog</t>
  </si>
  <si>
    <t xml:space="preserve">
Atualizar Linhas, Adicionar novos Campos Como SPT2C,D e E.
Adidionar requisitos da Sprint3
</t>
  </si>
  <si>
    <t>Sensor do Projeto + Gráficos</t>
  </si>
  <si>
    <t xml:space="preserve">
Teste com Sensor do Projeto + Gráficos – Simular integração do sistema
</t>
  </si>
  <si>
    <t>Usar API Local/Sensor</t>
  </si>
  <si>
    <t xml:space="preserve">
Fazer alterações no gráfico e no BD utilizando-se da API própria do Projeto
</t>
  </si>
  <si>
    <t>Arduino no MySQL (VMLinux)</t>
  </si>
  <si>
    <t xml:space="preserve">
Inserção de dados do Arduino no MySQL (VMLinux)
</t>
  </si>
  <si>
    <t>Validar solução técnica + Diagrama da Solução</t>
  </si>
  <si>
    <t xml:space="preserve">
Validar a solução técnica + Diagrama da Solução (Validado)
</t>
  </si>
  <si>
    <t>Ferramenta de Gestão (Github e Trello</t>
  </si>
  <si>
    <t xml:space="preserve">
Atividades organizadas na ferramenta de Gestão (Sprints / Atividades)
</t>
  </si>
  <si>
    <t>Criar html de TUDO</t>
  </si>
  <si>
    <t>Criar html da Tela de: cadastro de usuario, login,  main, dashboard e esqueceu senha</t>
  </si>
  <si>
    <t>Linkar o site com o banco de dados</t>
  </si>
  <si>
    <t xml:space="preserve">
Realizar a junção do site ao banco de dados, possibilitando cadastro e consulta do cliente
</t>
  </si>
  <si>
    <t>Configurar arduino para enviar dados ao banco</t>
  </si>
  <si>
    <t xml:space="preserve">
Fazer a automação / conexão dos dados capturados pelo sensor serem armazenados no banco de dados
</t>
  </si>
  <si>
    <t>Site Estático Dashboard</t>
  </si>
  <si>
    <t xml:space="preserve">
Site Estático Dashboard – Local - Gráfico com ChartJSSite Estático Dashboard – Local - Gráfico com ChartJS
</t>
  </si>
  <si>
    <t>SPT2E</t>
  </si>
  <si>
    <t>Diagrama de Solução</t>
  </si>
  <si>
    <t xml:space="preserve">
Diagrama de Solução (Arquitetura Técnica do Projeto)
</t>
  </si>
  <si>
    <t>Montar Site Estático Dashboard</t>
  </si>
  <si>
    <t>Site Estático Dashboard – Local - Gráfico com ChartJSSite Estático Dashboard – Local - Gráfico com ChartJS</t>
  </si>
  <si>
    <t>13/04/2026</t>
  </si>
  <si>
    <t>Gabriel Zanotti</t>
  </si>
  <si>
    <t>SPT2D</t>
  </si>
  <si>
    <t>Montar Diagrama de Solução</t>
  </si>
  <si>
    <t>Diagrama de Solução (Arquitetura Técnica do Projeto)</t>
  </si>
  <si>
    <t xml:space="preserve"> Gustavo Lima</t>
  </si>
  <si>
    <t>Testar Sensor do Projeto + Gráficos</t>
  </si>
  <si>
    <t>Teste com Sensor do Projeto + Gráficos – Simular integração do sistema</t>
  </si>
  <si>
    <t>Luiz Carlos</t>
  </si>
  <si>
    <t>Adaptar a API distribuída em sala de aula para o sensor DHT-11</t>
  </si>
  <si>
    <t xml:space="preserve"> Marcus Brenno</t>
  </si>
  <si>
    <t>Configurar Arduino no MySQL (VMLinux)</t>
  </si>
  <si>
    <t>Inserção de dados do Arduino no MySQL (VMLinux)</t>
  </si>
  <si>
    <t>Gus Kenzo</t>
  </si>
  <si>
    <t xml:space="preserve"> Validar solução técnica + Diagrama da Solução</t>
  </si>
  <si>
    <t>Validar a solução técnica + Diagrama da Solução (Validado)</t>
  </si>
  <si>
    <t xml:space="preserve"> Incerto</t>
  </si>
  <si>
    <t>Arduino no MySQL (VM Linux)</t>
  </si>
  <si>
    <t>Anderson Oliveira</t>
  </si>
  <si>
    <t>Atualizar o Script</t>
  </si>
  <si>
    <t>Atualizar o Script de acordo com a nova modelagem</t>
  </si>
  <si>
    <t>Atualizar a modelagem</t>
  </si>
  <si>
    <t>Atualizar a modelagem de acordo com o feedback geral do grupo</t>
  </si>
  <si>
    <t>Gustavo Lima</t>
  </si>
  <si>
    <t>Modificar o Figma de acordo com a nova modelagem</t>
  </si>
  <si>
    <t>Modificar o Figma de acordo com a modelagem discutida em grupo (deletar as telas de cadastrar container e empresa, e modificar as telas de dashboard de acordo com a atualização)</t>
  </si>
  <si>
    <t>Adicionar nova tabela na modelagem</t>
  </si>
  <si>
    <t>Adicionar uma nova tabela de acordo com a sprint review.</t>
  </si>
  <si>
    <t>Adicionar nova tela no Figma</t>
  </si>
  <si>
    <t>Adicionar uma nova tela no Figma  com a sprint review.</t>
  </si>
  <si>
    <t>Fazer site institucional Funcional</t>
  </si>
  <si>
    <t xml:space="preserve">
Fazer página Main,  Equipe, Sobre e Localização finalizados. Também devem estar interagindo com as outras páginas
Com CSS, HTML e JS
</t>
  </si>
  <si>
    <t>SPT3B</t>
  </si>
  <si>
    <t>SPT3</t>
  </si>
  <si>
    <t>Fazer página de Login e Cadastro Funcional</t>
  </si>
  <si>
    <t xml:space="preserve">
Página de Login e Cadastro ligada ao BD da VM e dados sensíveis   criptografados
</t>
  </si>
  <si>
    <t>SPT3D</t>
  </si>
  <si>
    <t>Fazer página da Dashboard Funcional</t>
  </si>
  <si>
    <t xml:space="preserve">
Dashboard Funcionando com dados puxados do BD da VM
</t>
  </si>
  <si>
    <t>Fazer usuários na VM para cada função (Admin, Cliente e Funcionario)</t>
  </si>
  <si>
    <t xml:space="preserve">
Aplicar funções de cada usuário de acordo com cada cargo e configurar as permissões desses mesmos para cada aplicação dentro da máquina Virtual
</t>
  </si>
  <si>
    <t>SPT3A</t>
  </si>
  <si>
    <t>Enviar arquivos utilizados pelo grupo em Nuvem</t>
  </si>
  <si>
    <t xml:space="preserve">
Armazenar arquivos, como imagens, documentações e aplicações feitas pelo grupo em Nuvem
</t>
  </si>
  <si>
    <t>Atualizar Backups do grupo</t>
  </si>
  <si>
    <t xml:space="preserve">
Atualizar arquivos do grupo e seus backups
</t>
  </si>
  <si>
    <t>Site institucional, Dashboard e Cadastro e Login para aparelho móvel</t>
  </si>
  <si>
    <t xml:space="preserve">
Configurar site institucional, Dashboard e Cadastro e Login para dispositivos móveis
</t>
  </si>
  <si>
    <t xml:space="preserve">
Configurar site institucional, Dashboard e Cadastro e Login para dispositívos móveis
</t>
  </si>
  <si>
    <t>Dia</t>
  </si>
  <si>
    <t>Meta Dia</t>
  </si>
  <si>
    <t>Meta Ideal</t>
  </si>
  <si>
    <t>Realizado Dia REAL</t>
  </si>
  <si>
    <t>Pendente</t>
  </si>
  <si>
    <t>Pontos a Serem Entregues</t>
  </si>
  <si>
    <t>Dia-Inicio</t>
  </si>
  <si>
    <t>Dia-Fim</t>
  </si>
  <si>
    <t>Meta</t>
  </si>
  <si>
    <t>DIF</t>
  </si>
  <si>
    <t>Prazo de Término (DIAS)</t>
  </si>
  <si>
    <t>1</t>
  </si>
  <si>
    <t>Média Ideal Por Dia</t>
  </si>
  <si>
    <t>28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</si>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</sst>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Aptos Narrow"/>
    </font>
    <font>
      <sz val="11"/>
      <color rgb="FF000000"/>
      <name val="Aptos Narrow"/>
    </font>
    <font>
      <sz val="11"/>
      <color theme="1"/>
      <name val="Aptos Narrow"/>
    </font>
    <font>
      <u/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rgb="FFFFFFFF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>
      <alignment horizontal="center" wrapText="1"/>
    </xf>
    <xf numFmtId="1" fontId="7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 wrapText="1"/>
    </xf>
    <xf numFmtId="1" fontId="0" fillId="6" borderId="1" xfId="0" applyNumberForma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 patternType="solid">
          <bgColor theme="8" tint="0.39997558519241921"/>
        </patternFill>
      </fill>
    </dxf>
    <dxf>
      <font>
        <color theme="8" tint="0.39997558519241921"/>
      </font>
      <fill>
        <patternFill patternType="solid">
          <bgColor theme="8" tint="0.79998168889431442"/>
        </patternFill>
      </fill>
    </dxf>
    <dxf>
      <font>
        <b/>
        <i val="0"/>
        <color theme="0"/>
      </font>
      <fill>
        <patternFill patternType="solid"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7558519241921"/>
      </font>
      <fill>
        <patternFill patternType="solid">
          <bgColor theme="8" tint="0.79998168889431442"/>
        </patternFill>
      </fill>
    </dxf>
    <dxf>
      <font>
        <color theme="8" tint="-0.499984740745262"/>
      </font>
      <fill>
        <patternFill patternType="solid">
          <bgColor theme="8" tint="0.39997558519241921"/>
        </patternFill>
      </fill>
    </dxf>
    <dxf>
      <font>
        <b/>
        <i val="0"/>
        <color theme="0"/>
      </font>
      <fill>
        <patternFill patternType="solid"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7558519241921"/>
      </font>
      <fill>
        <patternFill patternType="solid">
          <bgColor theme="8" tint="0.79998168889431442"/>
        </patternFill>
      </fill>
    </dxf>
    <dxf>
      <font>
        <color theme="8" tint="-0.499984740745262"/>
      </font>
      <fill>
        <patternFill patternType="solid">
          <bgColor theme="8" tint="0.39997558519241921"/>
        </patternFill>
      </fill>
    </dxf>
    <dxf>
      <font>
        <color theme="4" tint="-0.249977111117893"/>
      </font>
      <fill>
        <patternFill patternType="solid">
          <bgColor theme="4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theme="2" tint="-0.74999237037263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theme="2" tint="-0.24997711111789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theme="2" tint="-9.9978637043366805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0"/>
      </font>
      <fill>
        <patternFill patternType="solid">
          <bgColor theme="2" tint="-0.74999237037263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theme="2" tint="-0.24997711111789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theme="2" tint="-9.9978637043366805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0"/>
      </font>
      <fill>
        <patternFill patternType="solid"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 patternType="solid">
          <bgColor theme="8" tint="0.39997558519241921"/>
        </patternFill>
      </fill>
    </dxf>
    <dxf>
      <font>
        <color theme="8" tint="0.39997558519241921"/>
      </font>
      <fill>
        <patternFill patternType="solid">
          <bgColor theme="8" tint="0.79998168889431442"/>
        </patternFill>
      </fill>
    </dxf>
    <dxf>
      <font>
        <b/>
        <i val="0"/>
        <color theme="0"/>
      </font>
      <fill>
        <patternFill patternType="solid"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0.39997558519241921"/>
      </font>
      <fill>
        <patternFill patternType="solid">
          <bgColor theme="8" tint="0.79998168889431442"/>
        </patternFill>
      </fill>
    </dxf>
    <dxf>
      <font>
        <color theme="8" tint="-0.499984740745262"/>
      </font>
      <fill>
        <patternFill patternType="solid">
          <bgColor theme="8" tint="0.39997558519241921"/>
        </patternFill>
      </fill>
    </dxf>
    <dxf>
      <font>
        <color theme="4" tint="-0.249977111117893"/>
      </font>
      <fill>
        <patternFill patternType="solid">
          <bgColor theme="4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theme="2" tint="-0.74999237037263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theme="2" tint="-0.24997711111789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theme="2" tint="-9.9978637043366805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Burndown!$F$2</c:f>
              <c:strCache>
                <c:ptCount val="1"/>
                <c:pt idx="0">
                  <c:v>Pendente</c:v>
                </c:pt>
              </c:strCache>
            </c:strRef>
          </c:tx>
          <c:spPr>
            <a:ln w="381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Burndown!B3:B85</c:f>
              <c:numCache>
                <c:formatCode>General</c:formatCode>
                <c:ptCount val="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</c:numCache>
            </c:numRef>
          </c:cat>
          <c:val>
            <c:numRef>
              <c:f>Burndown!$F$3:$F$85</c:f>
              <c:numCache>
                <c:formatCode>0</c:formatCode>
                <c:ptCount val="83"/>
                <c:pt idx="0">
                  <c:v>473</c:v>
                </c:pt>
                <c:pt idx="1">
                  <c:v>467.23170731707319</c:v>
                </c:pt>
                <c:pt idx="2">
                  <c:v>461.46341463414637</c:v>
                </c:pt>
                <c:pt idx="3">
                  <c:v>455.69512195121956</c:v>
                </c:pt>
                <c:pt idx="4">
                  <c:v>449.92682926829275</c:v>
                </c:pt>
                <c:pt idx="5">
                  <c:v>444.15853658536594</c:v>
                </c:pt>
                <c:pt idx="6">
                  <c:v>438.39024390243912</c:v>
                </c:pt>
                <c:pt idx="7">
                  <c:v>432.62195121951231</c:v>
                </c:pt>
                <c:pt idx="8">
                  <c:v>426.8536585365855</c:v>
                </c:pt>
                <c:pt idx="9">
                  <c:v>421.08536585365869</c:v>
                </c:pt>
                <c:pt idx="10">
                  <c:v>415.31707317073187</c:v>
                </c:pt>
                <c:pt idx="11">
                  <c:v>409.54878048780506</c:v>
                </c:pt>
                <c:pt idx="12">
                  <c:v>403.78048780487825</c:v>
                </c:pt>
                <c:pt idx="13">
                  <c:v>398.01219512195144</c:v>
                </c:pt>
                <c:pt idx="14">
                  <c:v>392.24390243902462</c:v>
                </c:pt>
                <c:pt idx="15">
                  <c:v>386.47560975609781</c:v>
                </c:pt>
                <c:pt idx="16">
                  <c:v>380.707317073171</c:v>
                </c:pt>
                <c:pt idx="17">
                  <c:v>374.93902439024419</c:v>
                </c:pt>
                <c:pt idx="18">
                  <c:v>369.17073170731737</c:v>
                </c:pt>
                <c:pt idx="19">
                  <c:v>363.40243902439056</c:v>
                </c:pt>
                <c:pt idx="20">
                  <c:v>357.63414634146375</c:v>
                </c:pt>
                <c:pt idx="21">
                  <c:v>351.86585365853693</c:v>
                </c:pt>
                <c:pt idx="22">
                  <c:v>346.09756097561012</c:v>
                </c:pt>
                <c:pt idx="23">
                  <c:v>340.32926829268331</c:v>
                </c:pt>
                <c:pt idx="24">
                  <c:v>334.5609756097565</c:v>
                </c:pt>
                <c:pt idx="25">
                  <c:v>328.79268292682968</c:v>
                </c:pt>
                <c:pt idx="26">
                  <c:v>323.02439024390287</c:v>
                </c:pt>
                <c:pt idx="27">
                  <c:v>317.25609756097606</c:v>
                </c:pt>
                <c:pt idx="28">
                  <c:v>314.25609756097606</c:v>
                </c:pt>
                <c:pt idx="29">
                  <c:v>311.25609756097606</c:v>
                </c:pt>
                <c:pt idx="30">
                  <c:v>309.25609756097606</c:v>
                </c:pt>
                <c:pt idx="31">
                  <c:v>308.25609756097606</c:v>
                </c:pt>
                <c:pt idx="32">
                  <c:v>296.25609756097606</c:v>
                </c:pt>
                <c:pt idx="33">
                  <c:v>283.25609756097606</c:v>
                </c:pt>
                <c:pt idx="34">
                  <c:v>271.25609756097606</c:v>
                </c:pt>
                <c:pt idx="35">
                  <c:v>266.25609756097606</c:v>
                </c:pt>
                <c:pt idx="36">
                  <c:v>266.25609756097606</c:v>
                </c:pt>
                <c:pt idx="37">
                  <c:v>266.25609756097606</c:v>
                </c:pt>
                <c:pt idx="38">
                  <c:v>262.25609756097606</c:v>
                </c:pt>
                <c:pt idx="39">
                  <c:v>257.25609756097606</c:v>
                </c:pt>
                <c:pt idx="40">
                  <c:v>249.25609756097606</c:v>
                </c:pt>
                <c:pt idx="41">
                  <c:v>241.25609756097606</c:v>
                </c:pt>
                <c:pt idx="42">
                  <c:v>235.25609756097606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76-4EA4-ABF8-177932A02CF3}"/>
            </c:ext>
          </c:extLst>
        </c:ser>
        <c:ser>
          <c:idx val="0"/>
          <c:order val="1"/>
          <c:tx>
            <c:strRef>
              <c:f>Burndown!$D$2</c:f>
              <c:strCache>
                <c:ptCount val="1"/>
                <c:pt idx="0">
                  <c:v>Meta Ideal</c:v>
                </c:pt>
              </c:strCache>
            </c:strRef>
          </c:tx>
          <c:spPr>
            <a:ln w="38100" cap="flat" cmpd="sng" algn="ctr">
              <a:solidFill>
                <a:srgbClr val="30549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Burndown!B3:B85</c:f>
              <c:numCache>
                <c:formatCode>General</c:formatCode>
                <c:ptCount val="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</c:numCache>
            </c:numRef>
          </c:cat>
          <c:val>
            <c:numRef>
              <c:f>Burndown!$D$3:$D$85</c:f>
              <c:numCache>
                <c:formatCode>0</c:formatCode>
                <c:ptCount val="83"/>
                <c:pt idx="0">
                  <c:v>473</c:v>
                </c:pt>
                <c:pt idx="1">
                  <c:v>467.23170731707319</c:v>
                </c:pt>
                <c:pt idx="2">
                  <c:v>461.46341463414637</c:v>
                </c:pt>
                <c:pt idx="3">
                  <c:v>455.69512195121956</c:v>
                </c:pt>
                <c:pt idx="4">
                  <c:v>449.92682926829275</c:v>
                </c:pt>
                <c:pt idx="5">
                  <c:v>444.15853658536594</c:v>
                </c:pt>
                <c:pt idx="6">
                  <c:v>438.39024390243912</c:v>
                </c:pt>
                <c:pt idx="7">
                  <c:v>432.62195121951231</c:v>
                </c:pt>
                <c:pt idx="8">
                  <c:v>426.8536585365855</c:v>
                </c:pt>
                <c:pt idx="9">
                  <c:v>421.08536585365869</c:v>
                </c:pt>
                <c:pt idx="10">
                  <c:v>415.31707317073187</c:v>
                </c:pt>
                <c:pt idx="11">
                  <c:v>409.54878048780506</c:v>
                </c:pt>
                <c:pt idx="12">
                  <c:v>403.78048780487825</c:v>
                </c:pt>
                <c:pt idx="13">
                  <c:v>398.01219512195144</c:v>
                </c:pt>
                <c:pt idx="14">
                  <c:v>392.24390243902462</c:v>
                </c:pt>
                <c:pt idx="15">
                  <c:v>386.47560975609781</c:v>
                </c:pt>
                <c:pt idx="16">
                  <c:v>380.707317073171</c:v>
                </c:pt>
                <c:pt idx="17">
                  <c:v>374.93902439024419</c:v>
                </c:pt>
                <c:pt idx="18">
                  <c:v>369.17073170731737</c:v>
                </c:pt>
                <c:pt idx="19">
                  <c:v>363.40243902439056</c:v>
                </c:pt>
                <c:pt idx="20">
                  <c:v>357.63414634146375</c:v>
                </c:pt>
                <c:pt idx="21">
                  <c:v>351.86585365853693</c:v>
                </c:pt>
                <c:pt idx="22">
                  <c:v>346.09756097561012</c:v>
                </c:pt>
                <c:pt idx="23">
                  <c:v>340.32926829268331</c:v>
                </c:pt>
                <c:pt idx="24">
                  <c:v>334.5609756097565</c:v>
                </c:pt>
                <c:pt idx="25">
                  <c:v>328.79268292682968</c:v>
                </c:pt>
                <c:pt idx="26">
                  <c:v>323.02439024390287</c:v>
                </c:pt>
                <c:pt idx="27">
                  <c:v>317.25609756097606</c:v>
                </c:pt>
                <c:pt idx="28">
                  <c:v>311.48780487804925</c:v>
                </c:pt>
                <c:pt idx="29">
                  <c:v>305.71951219512243</c:v>
                </c:pt>
                <c:pt idx="30">
                  <c:v>299.95121951219562</c:v>
                </c:pt>
                <c:pt idx="31">
                  <c:v>294.18292682926881</c:v>
                </c:pt>
                <c:pt idx="32">
                  <c:v>288.414634146342</c:v>
                </c:pt>
                <c:pt idx="33">
                  <c:v>282.64634146341518</c:v>
                </c:pt>
                <c:pt idx="34">
                  <c:v>276.87804878048837</c:v>
                </c:pt>
                <c:pt idx="35">
                  <c:v>271.10975609756156</c:v>
                </c:pt>
                <c:pt idx="36">
                  <c:v>265.34146341463475</c:v>
                </c:pt>
                <c:pt idx="37">
                  <c:v>259.57317073170793</c:v>
                </c:pt>
                <c:pt idx="38">
                  <c:v>253.80487804878109</c:v>
                </c:pt>
                <c:pt idx="39">
                  <c:v>248.03658536585425</c:v>
                </c:pt>
                <c:pt idx="40">
                  <c:v>242.26829268292741</c:v>
                </c:pt>
                <c:pt idx="41">
                  <c:v>236.50000000000057</c:v>
                </c:pt>
                <c:pt idx="42">
                  <c:v>230.73170731707373</c:v>
                </c:pt>
                <c:pt idx="43">
                  <c:v>224.96341463414689</c:v>
                </c:pt>
                <c:pt idx="44">
                  <c:v>219.19512195122005</c:v>
                </c:pt>
                <c:pt idx="45">
                  <c:v>213.4268292682932</c:v>
                </c:pt>
                <c:pt idx="46">
                  <c:v>207.65853658536636</c:v>
                </c:pt>
                <c:pt idx="47">
                  <c:v>201.89024390243952</c:v>
                </c:pt>
                <c:pt idx="48">
                  <c:v>196.12195121951268</c:v>
                </c:pt>
                <c:pt idx="49">
                  <c:v>190.35365853658584</c:v>
                </c:pt>
                <c:pt idx="50">
                  <c:v>184.585365853659</c:v>
                </c:pt>
                <c:pt idx="51">
                  <c:v>178.81707317073216</c:v>
                </c:pt>
                <c:pt idx="52">
                  <c:v>173.04878048780532</c:v>
                </c:pt>
                <c:pt idx="53">
                  <c:v>167.28048780487848</c:v>
                </c:pt>
                <c:pt idx="54">
                  <c:v>161.51219512195163</c:v>
                </c:pt>
                <c:pt idx="55">
                  <c:v>155.74390243902479</c:v>
                </c:pt>
                <c:pt idx="56">
                  <c:v>149.97560975609795</c:v>
                </c:pt>
                <c:pt idx="57">
                  <c:v>144.20731707317111</c:v>
                </c:pt>
                <c:pt idx="58">
                  <c:v>138.43902439024427</c:v>
                </c:pt>
                <c:pt idx="59">
                  <c:v>132.67073170731743</c:v>
                </c:pt>
                <c:pt idx="60">
                  <c:v>126.9024390243906</c:v>
                </c:pt>
                <c:pt idx="61">
                  <c:v>121.13414634146378</c:v>
                </c:pt>
                <c:pt idx="62">
                  <c:v>115.36585365853695</c:v>
                </c:pt>
                <c:pt idx="63">
                  <c:v>109.59756097561012</c:v>
                </c:pt>
                <c:pt idx="64">
                  <c:v>103.8292682926833</c:v>
                </c:pt>
                <c:pt idx="65">
                  <c:v>98.060975609756468</c:v>
                </c:pt>
                <c:pt idx="66">
                  <c:v>92.292682926829642</c:v>
                </c:pt>
                <c:pt idx="67">
                  <c:v>86.524390243902815</c:v>
                </c:pt>
                <c:pt idx="68">
                  <c:v>80.756097560975988</c:v>
                </c:pt>
                <c:pt idx="69">
                  <c:v>74.987804878049161</c:v>
                </c:pt>
                <c:pt idx="70">
                  <c:v>69.219512195122334</c:v>
                </c:pt>
                <c:pt idx="71">
                  <c:v>63.451219512195507</c:v>
                </c:pt>
                <c:pt idx="72">
                  <c:v>57.682926829268681</c:v>
                </c:pt>
                <c:pt idx="73">
                  <c:v>51.914634146341854</c:v>
                </c:pt>
                <c:pt idx="74">
                  <c:v>46.146341463415027</c:v>
                </c:pt>
                <c:pt idx="75">
                  <c:v>40.3780487804882</c:v>
                </c:pt>
                <c:pt idx="76">
                  <c:v>34.609756097561373</c:v>
                </c:pt>
                <c:pt idx="77">
                  <c:v>28.841463414634543</c:v>
                </c:pt>
                <c:pt idx="78">
                  <c:v>23.073170731707712</c:v>
                </c:pt>
                <c:pt idx="79">
                  <c:v>17.304878048780882</c:v>
                </c:pt>
                <c:pt idx="80">
                  <c:v>11.536585365854052</c:v>
                </c:pt>
                <c:pt idx="81">
                  <c:v>5.7682926829272221</c:v>
                </c:pt>
                <c:pt idx="82">
                  <c:v>3.9257486150745535E-13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6-4EA4-ABF8-177932A02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584007"/>
        <c:axId val="1627586055"/>
      </c:lineChart>
      <c:catAx>
        <c:axId val="1627584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 Úteis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rgbClr val="2F75B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86055"/>
        <c:crosses val="autoZero"/>
        <c:auto val="1"/>
        <c:lblAlgn val="ctr"/>
        <c:lblOffset val="100"/>
        <c:noMultiLvlLbl val="0"/>
      </c:catAx>
      <c:valAx>
        <c:axId val="1627586055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840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 w="12700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6</xdr:row>
      <xdr:rowOff>38100</xdr:rowOff>
    </xdr:from>
    <xdr:to>
      <xdr:col>20</xdr:col>
      <xdr:colOff>590550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91D682-30DF-4835-5B9C-785F25A95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13</xdr:row>
      <xdr:rowOff>28575</xdr:rowOff>
    </xdr:from>
    <xdr:to>
      <xdr:col>11</xdr:col>
      <xdr:colOff>0</xdr:colOff>
      <xdr:row>34</xdr:row>
      <xdr:rowOff>114300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3B10595D-F4E4-86EB-A3CC-9B3D3F811F89}"/>
            </a:ext>
            <a:ext uri="{147F2762-F138-4A5C-976F-8EAC2B608ADB}">
              <a16:predDERef xmlns:a16="http://schemas.microsoft.com/office/drawing/2014/main" pred="{E691D682-30DF-4835-5B9C-785F25A955FE}"/>
            </a:ext>
          </a:extLst>
        </xdr:cNvPr>
        <xdr:cNvCxnSpPr>
          <a:cxnSpLocks/>
        </xdr:cNvCxnSpPr>
      </xdr:nvCxnSpPr>
      <xdr:spPr>
        <a:xfrm flipH="1">
          <a:off x="9515475" y="2552700"/>
          <a:ext cx="9525" cy="4086225"/>
        </a:xfrm>
        <a:prstGeom prst="line">
          <a:avLst/>
        </a:prstGeom>
        <a:ln w="190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13</xdr:row>
      <xdr:rowOff>19050</xdr:rowOff>
    </xdr:from>
    <xdr:to>
      <xdr:col>15</xdr:col>
      <xdr:colOff>447675</xdr:colOff>
      <xdr:row>34</xdr:row>
      <xdr:rowOff>104775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72748AF-DAB7-4E8C-A8A1-03BE0C6D1F32}"/>
            </a:ext>
            <a:ext uri="{147F2762-F138-4A5C-976F-8EAC2B608ADB}">
              <a16:predDERef xmlns:a16="http://schemas.microsoft.com/office/drawing/2014/main" pred="{3B10595D-F4E4-86EB-A3CC-9B3D3F811F89}"/>
            </a:ext>
          </a:extLst>
        </xdr:cNvPr>
        <xdr:cNvCxnSpPr>
          <a:cxnSpLocks/>
        </xdr:cNvCxnSpPr>
      </xdr:nvCxnSpPr>
      <xdr:spPr>
        <a:xfrm flipH="1">
          <a:off x="12411075" y="2543175"/>
          <a:ext cx="9525" cy="4086225"/>
        </a:xfrm>
        <a:prstGeom prst="line">
          <a:avLst/>
        </a:prstGeom>
        <a:ln w="190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6.658767476853" createdVersion="8" refreshedVersion="8" minRefreshableVersion="3" recordCount="54" xr:uid="{30EB2875-CAA9-4467-86B9-BCBAFCE6B4E1}">
  <cacheSource type="worksheet">
    <worksheetSource name="Table1"/>
  </cacheSource>
  <cacheFields count="9">
    <cacheField name="Requisitos" numFmtId="0">
      <sharedItems count="54">
        <s v="Criar as tabelas do banco de dados"/>
        <s v="Popular a tabela com dados"/>
        <s v="Criar script de consulta pro banco de dados"/>
        <s v="Fazer tela com um simulador financeiro "/>
        <s v="Criar e configurar trello"/>
        <s v="Criar as tarefas e organiza-las nos seus respectivos cards"/>
        <s v="Criar documentação do projeto"/>
        <s v="Configarar projeto no GitHub"/>
        <s v="Criar prototipo no figma."/>
        <s v="Criar diagrama de visão de negocio"/>
        <s v="Montar arduino"/>
        <s v="Configurar ambiente para o funcionamento do arduino"/>
        <s v="Criar codigo para o arduino "/>
        <s v="Configurar ambiente para virtualização no virtualBox"/>
        <s v="Executar comandos no SO selecionado"/>
        <s v="Criar Tela de cadastro de usuario no protótipo"/>
        <s v="Atualizar ferramenta de gestão"/>
        <s v="BackLog da Sprint"/>
        <s v="Atualizar Documentação"/>
        <s v="Criar documento de regras de condução do projeto"/>
        <s v="Definir padrão para documentos de Ata e Plano de ação"/>
        <s v="Criar relacionamento entre as tabelas"/>
        <s v="Criar CSS para tela de simulação"/>
        <s v="Modelagem Lógica do Projeto v1"/>
        <s v="Site Institucional - HTML/CSS/JavaScript"/>
        <s v="Retrabalhar o Simulador Financeiro"/>
        <s v="Script BD / Tabelas BD loca"/>
        <s v="Remodelar o Banco de Dados"/>
        <s v="Especificação da Dashboard"/>
        <s v="Atualizar Documentação (feedback professor)"/>
        <s v="Site Cadastro e Login"/>
        <s v="MySQL na VMLinux"/>
        <s v="Planilha de Riscos"/>
        <s v="BurnDown"/>
        <s v="Atualizar Novas Colunas no BackLog e Responsáveis"/>
        <s v="Fibonnacci da SPRINT 1"/>
        <s v="Linhas do Backlog"/>
        <s v="Sensor do Projeto + Gráficos"/>
        <s v="Usar API Local/Sensor"/>
        <s v="Arduino no MySQL (VMLinux)"/>
        <s v="Validar solução técnica + Diagrama da Solução"/>
        <s v="Ferramenta de Gestão (Github e Trello"/>
        <s v="Criar html de TUDO"/>
        <s v="Linkar o site com o banco de dados"/>
        <s v="Configurar arduino para enviar dados ao banco"/>
        <s v="Site Estático Dashboard"/>
        <s v="Diagrama de Solução"/>
        <s v="Fazer site institucional Funcional"/>
        <s v="Fazer página de Login e Cadastro Funcional"/>
        <s v="Fazer página da Dashboard Funcional"/>
        <s v="Fazer usuários na VM para cada função (Admin, Cliente e Funcionario)"/>
        <s v="Enviar arquivos utilizados pelo grupo em Nuvem"/>
        <s v="Atualizar Backups do grupo"/>
        <s v="Site institucional, Dashboard e Cadastro e Login para aparelho móvel"/>
      </sharedItems>
    </cacheField>
    <cacheField name="Descrição" numFmtId="0">
      <sharedItems count="54" longText="1">
        <s v="Criar Tables: Usuarios, Container,Registros e Empresa"/>
        <s v="Inserir registros nas tabelas criadas"/>
        <s v="Fazer scripts de consulta (SELECT) no banco de dados"/>
        <s v="Fazer um simulador financeiro com base na regra de negócio. &quot;O projeto irá economizar...&quot;, &quot;O projeto gerará um lucro de...&quot;"/>
        <s v="Criar 3 cards: a fazer, em andamento, concluido"/>
        <s v="Criação de Cards: A fazer, Em andamento e Concluído. para melhor organização de requisitos"/>
        <s v="Documentar o contexto, objetivo, justificativa, escopo, premissas, restrições"/>
        <s v="Criação da organização Til-Ice e readme no github "/>
        <s v="Criar telas de main, equipe, sobre nós e localização"/>
        <s v="Montar um diagrama objetivo, simples, bem estilizado e profissional."/>
        <s v="Fazer a ligação do sensor no arduino com jumpers"/>
        <s v="Baixar e instalar o aplicativo ARDUINO IDE, após isso colocar o código para o funcionamento do mesmo."/>
        <s v="Rodar o código do sensor no Arduino"/>
        <s v="Fazer o download da iso lubunto  e iniciar o SO no hipervisor (Virtual Box), configurando quantidade de Memoria RAM, Memoria de massa e Nucleos."/>
        <s v="Saber fazer os comando básicos no SO (cd, ls,mkdir, pwd) e etc"/>
        <s v="Fazer uma tela de cadastro para o usuário inserir seu e-mail, criar senha e confirmar senha. no Protótipo"/>
        <s v="_x000a_Organizar as atividades nas ferramentas de gestão de projeto, adicionando as novas atividades e requisitos da Sprint_x000a_"/>
        <s v="_x000a_BackLog da Sprint (Demanda, Pontuação, Prioridade)_x000a__x000a_Atualização das demandas no Backlog Da Sprint_x000a_"/>
        <s v="_x000a_Projetos atualizado no GitHub_x000a__x000a_Documentação do Projeto Atualizada_x000a_"/>
        <s v="_x000a_Criar uma documentação para as regras de condução do projeto da equipe_x000a_"/>
        <s v="_x000a_Definir padrão um para documentar as Ata e Plano de ação de cada reunião_x000a_"/>
        <s v="_x000a_Realizar o relacionamento dos dados no banco de dados do MySQL_x000a_"/>
        <s v="_x000a_Fazer uma estilização na tela de simulação utilizando CSS._x000a_"/>
        <s v="_x000a_Modelagem lógica do projeto e Remodelar o banco e suas tabelas._x000a_"/>
        <s v="_x000a_Site Estático Institucional – Local - HTML/CSS/JavaScript - com conceito de repetições_x000a_"/>
        <s v="_x000a_Verificar simulador financeiro anterior e fazer alterações com novo CSS, JS e HTML (caso necessário)_x000a_"/>
        <s v="_x000a_Script de criação do Banco / Tabelas criadas em BD máquina local_x000a_"/>
        <s v="_x000a_Juntar todas as tasks relacionadas ao Banco de Dados para término em relatório_x000a_"/>
        <s v="_x000a_Especificar campos da Dashboard e bater com dados do BD local_x000a_"/>
        <s v="_x000a_Atualizar a Documentação seguido o feedback do professor de TI (Marcos):_x000a__x000a_“_x000a__x000a_Siga a sequência: Contexto/Objetivo/Justificativa/Escopo/Premissa/Restrição._x000a__x000a_Utilizei mais imagens no Contexto. Foto do Peixe. Fotos do Tanque dos Peixes. Infográficos falando sobre o mercado de criação de peixes no Mundo e no Brasil._x000a_Justificativa. Muito extensa. Foque no que vai convencer o cliente._x000a__x000a_“"/>
        <s v="_x000a_Site Estático Cadastro e Login em máquina Local_x000a_"/>
        <s v="_x000a_Instalação do MySQL no servidor de dados da solução (VMLinux)_x000a_"/>
        <s v="_x000a_Criar Planilha de Riscos do Projeto com soluções_x000a_"/>
        <s v="_x000a_Fazer Burndown do grupo de PI e entregar ao professor de TI_x000a_"/>
        <s v="_x000a_Atualizar o BackLog colocando os novos requisitos da sprint 2C, configurar o filtro da Sprint 2 no BackLog (excel), adicionar as novas colunas prioridade, tamanho e tamanho em pontos (seguir o modelo FIBONACCI)_x000a_"/>
        <s v="_x000a_Adicionar Pesos relacionados aos entregáveis da Sprint 1, com uma média de acordo com cada um do grupo_x000a_"/>
        <s v="_x000a_Atualizar Linhas, Adicionar novos Campos Como SPT2C,D e E._x000a_Adidionar requisitos da Sprint3_x000a_"/>
        <s v="_x000a_Teste com Sensor do Projeto + Gráficos – Simular integração do sistema_x000a_"/>
        <s v="_x000a_Fazer alterações no gráfico e no BD utilizando-se da API própria do Projeto_x000a_"/>
        <s v="_x000a_Inserção de dados do Arduino no MySQL (VMLinux)_x000a_"/>
        <s v="_x000a_Validar a solução técnica + Diagrama da Solução (Validado)_x000a_"/>
        <s v="_x000a_Atividades organizadas na ferramenta de Gestão (Sprints / Atividades)_x000a_"/>
        <s v="Criar html da Tela de: cadastro de usuario, login,  main, dashboard e esqueceu senha"/>
        <s v="_x000a_Realizar a junção do site ao banco de dados, possibilitando cadastro e consulta do cliente_x000a_"/>
        <s v="_x000a_Fazer a automação / conexão dos dados capturados pelo sensor serem armazenados no banco de dados_x000a_"/>
        <s v="_x000a_Site Estático Dashboard – Local - Gráfico com ChartJSSite Estático Dashboard – Local - Gráfico com ChartJS_x000a_"/>
        <s v="_x000a_Diagrama de Solução (Arquitetura Técnica do Projeto)_x000a_"/>
        <s v="_x000a_Fazer página Main,  Equipe, Sobre e Localização finalizados. Também devem estar interagindo com as outras páginas_x000a_Com CSS, HTML e JS_x000a_"/>
        <s v="_x000a_Página de Login e Cadastro ligada ao BD da VM e dados sensíveis   criptografados_x000a_"/>
        <s v="_x000a_Dashboard Funcionando com dados puxados do BD da VM_x000a_"/>
        <s v="_x000a_Aplicar funções de cada usuário de acordo com cada cargo e configurar as permissões desses mesmos para cada aplicação dentro da máquina Virtual_x000a_"/>
        <s v="_x000a_Armazenar arquivos, como imagens, documentações e aplicações feitas pelo grupo em Nuvem_x000a_"/>
        <s v="_x000a_Atualizar arquivos do grupo e seus backups_x000a_"/>
        <s v="_x000a_Configurar site institucional, Dashboard e Cadastro e Login para dispositívos móveis_x000a_"/>
      </sharedItems>
    </cacheField>
    <cacheField name="Classificação" numFmtId="0">
      <sharedItems count="3">
        <s v="Essencial"/>
        <s v="Importante"/>
        <s v="Desejável"/>
      </sharedItems>
    </cacheField>
    <cacheField name="Data" numFmtId="0">
      <sharedItems/>
    </cacheField>
    <cacheField name="Responsáveis" numFmtId="0">
      <sharedItems count="11">
        <s v="Sem informação"/>
        <s v="Gustavo/Anderson"/>
        <s v="Gus/Gabriel"/>
        <s v="Luiz/Marcus"/>
        <s v="Gabriel/Gus/Luiz"/>
        <s v="Anderson/Gustavo/Marcus"/>
        <s v="Gabriel"/>
        <s v="Gustavo"/>
        <s v="Luiz"/>
        <s v="Marcus"/>
        <s v="Gus"/>
      </sharedItems>
    </cacheField>
    <cacheField name="Tipo Sprint" numFmtId="0">
      <sharedItems/>
    </cacheField>
    <cacheField name="Sprint" numFmtId="0">
      <sharedItems count="3">
        <s v="SPT1"/>
        <s v="SPT2"/>
        <s v="SPT3"/>
      </sharedItems>
    </cacheField>
    <cacheField name="Pesos" numFmtId="0">
      <sharedItems count="5">
        <s v="PP"/>
        <s v="P"/>
        <s v="M"/>
        <s v="GG"/>
        <s v="G"/>
      </sharedItems>
    </cacheField>
    <cacheField name="Fibonacci" numFmtId="0">
      <sharedItems containsSemiMixedTypes="0" containsString="0" containsNumber="1" containsInteger="1" minValue="3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s v="Sem informação"/>
    <x v="0"/>
    <s v="Sem classificação"/>
    <x v="0"/>
    <x v="0"/>
    <n v="3"/>
  </r>
  <r>
    <x v="1"/>
    <x v="1"/>
    <x v="0"/>
    <s v="Sem informação"/>
    <x v="0"/>
    <s v="Sem classificação"/>
    <x v="0"/>
    <x v="1"/>
    <n v="5"/>
  </r>
  <r>
    <x v="2"/>
    <x v="2"/>
    <x v="0"/>
    <s v="Sem informação"/>
    <x v="0"/>
    <s v="Sem classificação"/>
    <x v="0"/>
    <x v="1"/>
    <n v="5"/>
  </r>
  <r>
    <x v="3"/>
    <x v="3"/>
    <x v="0"/>
    <s v="Sem informação"/>
    <x v="0"/>
    <s v="Sem classificação"/>
    <x v="0"/>
    <x v="2"/>
    <n v="8"/>
  </r>
  <r>
    <x v="4"/>
    <x v="4"/>
    <x v="0"/>
    <s v="Sem informação"/>
    <x v="0"/>
    <s v="Sem classificação"/>
    <x v="0"/>
    <x v="0"/>
    <n v="3"/>
  </r>
  <r>
    <x v="5"/>
    <x v="5"/>
    <x v="0"/>
    <s v="Sem informação"/>
    <x v="0"/>
    <s v="Sem classificação"/>
    <x v="0"/>
    <x v="0"/>
    <n v="3"/>
  </r>
  <r>
    <x v="6"/>
    <x v="6"/>
    <x v="0"/>
    <s v="Sem informação"/>
    <x v="0"/>
    <s v="Sem classificação"/>
    <x v="0"/>
    <x v="2"/>
    <n v="8"/>
  </r>
  <r>
    <x v="7"/>
    <x v="7"/>
    <x v="0"/>
    <s v="Sem informação"/>
    <x v="0"/>
    <s v="Sem classificação"/>
    <x v="0"/>
    <x v="0"/>
    <n v="3"/>
  </r>
  <r>
    <x v="8"/>
    <x v="8"/>
    <x v="0"/>
    <s v="Sem informação"/>
    <x v="0"/>
    <s v="Sem classificação"/>
    <x v="0"/>
    <x v="2"/>
    <n v="8"/>
  </r>
  <r>
    <x v="9"/>
    <x v="9"/>
    <x v="0"/>
    <s v="Sem informação"/>
    <x v="0"/>
    <s v="Sem classificação"/>
    <x v="0"/>
    <x v="1"/>
    <n v="5"/>
  </r>
  <r>
    <x v="10"/>
    <x v="10"/>
    <x v="0"/>
    <s v="Sem informação"/>
    <x v="0"/>
    <s v="Sem classificação"/>
    <x v="0"/>
    <x v="0"/>
    <n v="3"/>
  </r>
  <r>
    <x v="11"/>
    <x v="11"/>
    <x v="0"/>
    <s v="Sem informação"/>
    <x v="0"/>
    <s v="Sem classificação"/>
    <x v="0"/>
    <x v="0"/>
    <n v="3"/>
  </r>
  <r>
    <x v="12"/>
    <x v="12"/>
    <x v="0"/>
    <s v="Sem informação"/>
    <x v="0"/>
    <s v="Sem classificação"/>
    <x v="0"/>
    <x v="1"/>
    <n v="5"/>
  </r>
  <r>
    <x v="13"/>
    <x v="13"/>
    <x v="0"/>
    <s v="Sem informação"/>
    <x v="0"/>
    <s v="Sem classificação"/>
    <x v="0"/>
    <x v="0"/>
    <n v="3"/>
  </r>
  <r>
    <x v="14"/>
    <x v="14"/>
    <x v="0"/>
    <s v="Sem informação"/>
    <x v="0"/>
    <s v="Sem classificação"/>
    <x v="0"/>
    <x v="0"/>
    <n v="3"/>
  </r>
  <r>
    <x v="15"/>
    <x v="15"/>
    <x v="1"/>
    <s v="Sem informação"/>
    <x v="0"/>
    <s v="Sem classificação"/>
    <x v="0"/>
    <x v="1"/>
    <n v="5"/>
  </r>
  <r>
    <x v="16"/>
    <x v="16"/>
    <x v="0"/>
    <s v="17/março"/>
    <x v="1"/>
    <s v="SPT2A"/>
    <x v="1"/>
    <x v="2"/>
    <n v="8"/>
  </r>
  <r>
    <x v="17"/>
    <x v="17"/>
    <x v="0"/>
    <s v="17/março"/>
    <x v="2"/>
    <s v="SPT2A"/>
    <x v="1"/>
    <x v="2"/>
    <n v="8"/>
  </r>
  <r>
    <x v="18"/>
    <x v="18"/>
    <x v="0"/>
    <s v="17/março"/>
    <x v="1"/>
    <s v="SPT2A"/>
    <x v="1"/>
    <x v="2"/>
    <n v="8"/>
  </r>
  <r>
    <x v="19"/>
    <x v="19"/>
    <x v="0"/>
    <s v="17/março"/>
    <x v="1"/>
    <s v="SPT2A"/>
    <x v="1"/>
    <x v="2"/>
    <n v="8"/>
  </r>
  <r>
    <x v="20"/>
    <x v="20"/>
    <x v="0"/>
    <s v="17/março"/>
    <x v="3"/>
    <s v="SPT2A"/>
    <x v="1"/>
    <x v="1"/>
    <n v="5"/>
  </r>
  <r>
    <x v="21"/>
    <x v="21"/>
    <x v="1"/>
    <s v="17/março"/>
    <x v="1"/>
    <s v="SPT2A"/>
    <x v="1"/>
    <x v="2"/>
    <n v="8"/>
  </r>
  <r>
    <x v="22"/>
    <x v="22"/>
    <x v="2"/>
    <s v="30/março"/>
    <x v="4"/>
    <s v="SPT2B"/>
    <x v="1"/>
    <x v="2"/>
    <n v="8"/>
  </r>
  <r>
    <x v="23"/>
    <x v="23"/>
    <x v="0"/>
    <s v="30/março"/>
    <x v="5"/>
    <s v="SPT2B"/>
    <x v="1"/>
    <x v="2"/>
    <n v="8"/>
  </r>
  <r>
    <x v="24"/>
    <x v="24"/>
    <x v="0"/>
    <s v="30/março"/>
    <x v="4"/>
    <s v="SPT2B"/>
    <x v="1"/>
    <x v="3"/>
    <n v="21"/>
  </r>
  <r>
    <x v="25"/>
    <x v="25"/>
    <x v="0"/>
    <s v="30/março"/>
    <x v="5"/>
    <s v="SPT2B"/>
    <x v="1"/>
    <x v="2"/>
    <n v="8"/>
  </r>
  <r>
    <x v="26"/>
    <x v="26"/>
    <x v="0"/>
    <s v="30/março"/>
    <x v="5"/>
    <s v="SPT2B"/>
    <x v="1"/>
    <x v="2"/>
    <n v="8"/>
  </r>
  <r>
    <x v="27"/>
    <x v="27"/>
    <x v="0"/>
    <s v="30/março"/>
    <x v="5"/>
    <s v="SPT2B"/>
    <x v="1"/>
    <x v="2"/>
    <n v="8"/>
  </r>
  <r>
    <x v="28"/>
    <x v="28"/>
    <x v="0"/>
    <s v="07/abril"/>
    <x v="6"/>
    <s v="SPT2C"/>
    <x v="1"/>
    <x v="2"/>
    <n v="8"/>
  </r>
  <r>
    <x v="29"/>
    <x v="29"/>
    <x v="0"/>
    <s v="07/abril"/>
    <x v="7"/>
    <s v="SPT2C"/>
    <x v="1"/>
    <x v="2"/>
    <n v="8"/>
  </r>
  <r>
    <x v="30"/>
    <x v="30"/>
    <x v="0"/>
    <s v="07/abril"/>
    <x v="8"/>
    <s v="SPT2C"/>
    <x v="1"/>
    <x v="4"/>
    <n v="13"/>
  </r>
  <r>
    <x v="31"/>
    <x v="31"/>
    <x v="0"/>
    <s v="07/abril"/>
    <x v="9"/>
    <s v="SPT2C"/>
    <x v="1"/>
    <x v="2"/>
    <n v="8"/>
  </r>
  <r>
    <x v="32"/>
    <x v="32"/>
    <x v="0"/>
    <s v="07/abril"/>
    <x v="10"/>
    <s v="SPT2C"/>
    <x v="1"/>
    <x v="2"/>
    <n v="8"/>
  </r>
  <r>
    <x v="33"/>
    <x v="33"/>
    <x v="1"/>
    <s v="05/abril"/>
    <x v="9"/>
    <s v="SPT2C"/>
    <x v="1"/>
    <x v="2"/>
    <n v="8"/>
  </r>
  <r>
    <x v="34"/>
    <x v="34"/>
    <x v="1"/>
    <s v="07/abril"/>
    <x v="10"/>
    <s v="SPT2C"/>
    <x v="1"/>
    <x v="2"/>
    <n v="8"/>
  </r>
  <r>
    <x v="35"/>
    <x v="35"/>
    <x v="0"/>
    <s v="05/abril"/>
    <x v="10"/>
    <s v="SPT2C"/>
    <x v="1"/>
    <x v="2"/>
    <n v="8"/>
  </r>
  <r>
    <x v="36"/>
    <x v="36"/>
    <x v="0"/>
    <s v="05/abril"/>
    <x v="10"/>
    <s v="SPT2C"/>
    <x v="1"/>
    <x v="2"/>
    <n v="8"/>
  </r>
  <r>
    <x v="37"/>
    <x v="37"/>
    <x v="0"/>
    <s v="Sem informação"/>
    <x v="0"/>
    <s v="Sem classificação"/>
    <x v="1"/>
    <x v="4"/>
    <n v="13"/>
  </r>
  <r>
    <x v="38"/>
    <x v="38"/>
    <x v="0"/>
    <s v="Sem informação"/>
    <x v="0"/>
    <s v="Sem classificação"/>
    <x v="1"/>
    <x v="3"/>
    <n v="21"/>
  </r>
  <r>
    <x v="39"/>
    <x v="39"/>
    <x v="0"/>
    <s v="Sem informação"/>
    <x v="0"/>
    <s v="Sem classificação"/>
    <x v="1"/>
    <x v="3"/>
    <n v="21"/>
  </r>
  <r>
    <x v="40"/>
    <x v="40"/>
    <x v="0"/>
    <s v="Sem informação"/>
    <x v="0"/>
    <s v="Sem classificação"/>
    <x v="1"/>
    <x v="4"/>
    <n v="13"/>
  </r>
  <r>
    <x v="41"/>
    <x v="41"/>
    <x v="0"/>
    <s v="Sem informação"/>
    <x v="0"/>
    <s v="Sem classificação"/>
    <x v="1"/>
    <x v="1"/>
    <n v="5"/>
  </r>
  <r>
    <x v="42"/>
    <x v="42"/>
    <x v="0"/>
    <s v="Sem informação"/>
    <x v="0"/>
    <s v="Sem classificação"/>
    <x v="1"/>
    <x v="2"/>
    <n v="8"/>
  </r>
  <r>
    <x v="43"/>
    <x v="43"/>
    <x v="1"/>
    <s v="Sem informação"/>
    <x v="0"/>
    <s v="Sem classificação"/>
    <x v="1"/>
    <x v="4"/>
    <n v="13"/>
  </r>
  <r>
    <x v="44"/>
    <x v="44"/>
    <x v="1"/>
    <s v="Sem informação"/>
    <x v="0"/>
    <s v="Sem classificação"/>
    <x v="1"/>
    <x v="4"/>
    <n v="13"/>
  </r>
  <r>
    <x v="45"/>
    <x v="45"/>
    <x v="0"/>
    <s v="Sem informação"/>
    <x v="0"/>
    <s v="SPT2E"/>
    <x v="1"/>
    <x v="4"/>
    <n v="13"/>
  </r>
  <r>
    <x v="46"/>
    <x v="46"/>
    <x v="0"/>
    <s v="Sem informação"/>
    <x v="0"/>
    <s v="SPT2E"/>
    <x v="1"/>
    <x v="4"/>
    <n v="13"/>
  </r>
  <r>
    <x v="47"/>
    <x v="47"/>
    <x v="0"/>
    <s v="Sem informação"/>
    <x v="0"/>
    <s v="SPT3B"/>
    <x v="2"/>
    <x v="4"/>
    <n v="13"/>
  </r>
  <r>
    <x v="48"/>
    <x v="48"/>
    <x v="0"/>
    <s v="Sem informação"/>
    <x v="0"/>
    <s v="SPT3D"/>
    <x v="2"/>
    <x v="3"/>
    <n v="21"/>
  </r>
  <r>
    <x v="49"/>
    <x v="49"/>
    <x v="0"/>
    <s v="Sem informação"/>
    <x v="0"/>
    <s v="SPT3B"/>
    <x v="2"/>
    <x v="4"/>
    <n v="13"/>
  </r>
  <r>
    <x v="50"/>
    <x v="50"/>
    <x v="0"/>
    <s v="Sem informação"/>
    <x v="0"/>
    <s v="SPT3A"/>
    <x v="2"/>
    <x v="2"/>
    <n v="8"/>
  </r>
  <r>
    <x v="51"/>
    <x v="51"/>
    <x v="1"/>
    <s v="Sem informação"/>
    <x v="0"/>
    <s v="SPT3A"/>
    <x v="2"/>
    <x v="2"/>
    <n v="8"/>
  </r>
  <r>
    <x v="52"/>
    <x v="52"/>
    <x v="1"/>
    <s v="Sem informação"/>
    <x v="0"/>
    <s v="SPT3A"/>
    <x v="2"/>
    <x v="2"/>
    <n v="8"/>
  </r>
  <r>
    <x v="53"/>
    <x v="53"/>
    <x v="0"/>
    <s v="Sem informação"/>
    <x v="0"/>
    <s v="SPT3B"/>
    <x v="2"/>
    <x v="4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63B94-2B26-48BE-8C71-EF9DED82F28E}" name="Tabela Dinâmica1" cacheId="275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B2:G9" firstHeaderRow="1" firstDataRow="1" firstDataCol="6"/>
  <pivotFields count="9">
    <pivotField axis="axisRow" compact="0" outline="0" showAll="0" defaultSubtotal="0">
      <items count="54">
        <item x="39"/>
        <item x="52"/>
        <item x="18"/>
        <item x="29"/>
        <item x="16"/>
        <item x="34"/>
        <item x="17"/>
        <item x="33"/>
        <item x="7"/>
        <item x="11"/>
        <item x="13"/>
        <item x="44"/>
        <item x="0"/>
        <item x="5"/>
        <item x="12"/>
        <item x="22"/>
        <item x="9"/>
        <item x="6"/>
        <item x="19"/>
        <item x="4"/>
        <item x="42"/>
        <item x="8"/>
        <item x="21"/>
        <item x="2"/>
        <item x="15"/>
        <item x="20"/>
        <item x="46"/>
        <item x="51"/>
        <item x="28"/>
        <item x="14"/>
        <item x="49"/>
        <item x="48"/>
        <item x="47"/>
        <item x="3"/>
        <item x="50"/>
        <item x="41"/>
        <item x="35"/>
        <item x="36"/>
        <item x="43"/>
        <item x="23"/>
        <item x="10"/>
        <item x="31"/>
        <item x="32"/>
        <item x="1"/>
        <item x="27"/>
        <item x="25"/>
        <item x="26"/>
        <item x="37"/>
        <item x="30"/>
        <item x="45"/>
        <item x="24"/>
        <item x="53"/>
        <item x="38"/>
        <item x="40"/>
      </items>
    </pivotField>
    <pivotField axis="axisRow" compact="0" outline="0" showAll="0" defaultSubtotal="0">
      <items count="54">
        <item x="35"/>
        <item x="50"/>
        <item x="51"/>
        <item x="41"/>
        <item x="29"/>
        <item x="52"/>
        <item x="36"/>
        <item x="34"/>
        <item x="17"/>
        <item x="53"/>
        <item x="32"/>
        <item x="19"/>
        <item x="49"/>
        <item x="20"/>
        <item x="46"/>
        <item x="28"/>
        <item x="44"/>
        <item x="38"/>
        <item x="33"/>
        <item x="47"/>
        <item x="22"/>
        <item x="39"/>
        <item x="31"/>
        <item x="27"/>
        <item x="23"/>
        <item x="16"/>
        <item x="48"/>
        <item x="18"/>
        <item x="43"/>
        <item x="21"/>
        <item x="26"/>
        <item x="30"/>
        <item x="45"/>
        <item x="24"/>
        <item x="37"/>
        <item x="40"/>
        <item x="25"/>
        <item x="11"/>
        <item x="7"/>
        <item x="5"/>
        <item x="4"/>
        <item x="42"/>
        <item x="0"/>
        <item x="8"/>
        <item x="6"/>
        <item x="10"/>
        <item x="13"/>
        <item x="2"/>
        <item x="3"/>
        <item x="15"/>
        <item x="1"/>
        <item x="9"/>
        <item x="12"/>
        <item x="14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11">
        <item x="5"/>
        <item x="6"/>
        <item x="4"/>
        <item x="10"/>
        <item x="2"/>
        <item x="7"/>
        <item x="1"/>
        <item x="8"/>
        <item x="3"/>
        <item x="9"/>
        <item x="0"/>
      </items>
    </pivotField>
    <pivotField compact="0" outline="0" showAll="0" defaultSubtotal="0"/>
    <pivotField axis="axisRow" compact="0" outline="0" showAll="0" defaultSubtotal="0">
      <items count="3">
        <item h="1" x="0"/>
        <item h="1" x="1"/>
        <item x="2"/>
      </items>
    </pivotField>
    <pivotField axis="axisRow" compact="0" outline="0" showAll="0" defaultSubtotal="0">
      <items count="5">
        <item x="4"/>
        <item x="3"/>
        <item x="2"/>
        <item x="1"/>
        <item x="0"/>
      </items>
    </pivotField>
    <pivotField compact="0" outline="0" showAll="0" defaultSubtotal="0"/>
  </pivotFields>
  <rowFields count="6">
    <field x="6"/>
    <field x="0"/>
    <field x="1"/>
    <field x="2"/>
    <field x="4"/>
    <field x="7"/>
  </rowFields>
  <rowItems count="7">
    <i>
      <x v="2"/>
      <x v="1"/>
      <x v="5"/>
      <x v="2"/>
      <x v="10"/>
      <x v="2"/>
    </i>
    <i r="1">
      <x v="27"/>
      <x v="2"/>
      <x v="2"/>
      <x v="10"/>
      <x v="2"/>
    </i>
    <i r="1">
      <x v="30"/>
      <x v="12"/>
      <x v="1"/>
      <x v="10"/>
      <x/>
    </i>
    <i r="1">
      <x v="31"/>
      <x v="26"/>
      <x v="1"/>
      <x v="10"/>
      <x v="1"/>
    </i>
    <i r="1">
      <x v="32"/>
      <x v="19"/>
      <x v="1"/>
      <x v="10"/>
      <x/>
    </i>
    <i r="1">
      <x v="34"/>
      <x v="1"/>
      <x v="1"/>
      <x v="10"/>
      <x v="2"/>
    </i>
    <i r="1">
      <x v="51"/>
      <x v="9"/>
      <x v="1"/>
      <x v="10"/>
      <x/>
    </i>
  </rowItems>
  <colItems count="1">
    <i/>
  </colItems>
  <formats count="400">
    <format dxfId="851">
      <pivotArea type="all" dataOnly="0" outline="0" fieldPosition="0"/>
    </format>
    <format dxfId="852">
      <pivotArea field="6" type="button" dataOnly="0" labelOnly="1" outline="0" axis="axisRow" fieldPosition="0"/>
    </format>
    <format dxfId="853">
      <pivotArea field="0" type="button" dataOnly="0" labelOnly="1" outline="0" axis="axisRow" fieldPosition="1"/>
    </format>
    <format dxfId="854">
      <pivotArea field="1" type="button" dataOnly="0" labelOnly="1" outline="0" axis="axisRow" fieldPosition="2"/>
    </format>
    <format dxfId="855">
      <pivotArea field="2" type="button" dataOnly="0" labelOnly="1" outline="0" axis="axisRow" fieldPosition="3"/>
    </format>
    <format dxfId="856">
      <pivotArea field="4" type="button" dataOnly="0" labelOnly="1" outline="0" axis="axisRow" fieldPosition="4"/>
    </format>
    <format dxfId="857">
      <pivotArea field="7" type="button" dataOnly="0" labelOnly="1" outline="0" axis="axisRow" fieldPosition="5"/>
    </format>
    <format dxfId="858">
      <pivotArea dataOnly="0" labelOnly="1" outline="0" fieldPosition="0">
        <references count="1">
          <reference field="6" count="0"/>
        </references>
      </pivotArea>
    </format>
    <format dxfId="859">
      <pivotArea dataOnly="0" labelOnly="1" outline="0" fieldPosition="0">
        <references count="1">
          <reference field="6" count="0" defaultSubtotal="1"/>
        </references>
      </pivotArea>
    </format>
    <format dxfId="860">
      <pivotArea dataOnly="0" labelOnly="1" grandRow="1" outline="0" fieldPosition="0"/>
    </format>
    <format dxfId="86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862">
      <pivotArea dataOnly="0" labelOnly="1" outline="0" fieldPosition="0">
        <references count="2">
          <reference field="0" count="16" defaultSubtotal="1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863">
      <pivotArea dataOnly="0" labelOnly="1" outline="0" fieldPosition="0">
        <references count="2">
          <reference field="0" count="25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864">
      <pivotArea dataOnly="0" labelOnly="1" outline="0" fieldPosition="0">
        <references count="2">
          <reference field="0" count="25" defaultSubtotal="1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865">
      <pivotArea dataOnly="0" labelOnly="1" outline="0" fieldPosition="0">
        <references count="2">
          <reference field="0" count="6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866">
      <pivotArea dataOnly="0" labelOnly="1" outline="0" fieldPosition="0">
        <references count="2">
          <reference field="0" count="6" defaultSubtotal="1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867">
      <pivotArea dataOnly="0" labelOnly="1" outline="0" fieldPosition="0">
        <references count="2">
          <reference field="0" count="7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868">
      <pivotArea dataOnly="0" labelOnly="1" outline="0" fieldPosition="0">
        <references count="2">
          <reference field="0" count="7" defaultSubtotal="1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1" selected="0">
            <x v="0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8"/>
          </reference>
          <reference field="1" count="1" defaultSubtotal="1">
            <x v="38"/>
          </reference>
          <reference field="6" count="1" selected="0">
            <x v="0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1" selected="0">
            <x v="0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9"/>
          </reference>
          <reference field="1" count="1" defaultSubtotal="1">
            <x v="37"/>
          </reference>
          <reference field="6" count="1" selected="0">
            <x v="0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1" selected="0">
            <x v="0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10"/>
          </reference>
          <reference field="1" count="1" defaultSubtotal="1">
            <x v="46"/>
          </reference>
          <reference field="6" count="1" selected="0">
            <x v="0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1" selected="0">
            <x v="0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12"/>
          </reference>
          <reference field="1" count="1" defaultSubtotal="1">
            <x v="42"/>
          </reference>
          <reference field="6" count="1" selected="0">
            <x v="0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1" selected="0">
            <x v="0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13"/>
          </reference>
          <reference field="1" count="1" defaultSubtotal="1">
            <x v="39"/>
          </reference>
          <reference field="6" count="1" selected="0">
            <x v="0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1" selected="0">
            <x v="0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14"/>
          </reference>
          <reference field="1" count="1" defaultSubtotal="1">
            <x v="52"/>
          </reference>
          <reference field="6" count="1" selected="0">
            <x v="0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1" selected="0">
            <x v="0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16"/>
          </reference>
          <reference field="1" count="1" defaultSubtotal="1">
            <x v="51"/>
          </reference>
          <reference field="6" count="1" selected="0">
            <x v="0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1" selected="0">
            <x v="0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17"/>
          </reference>
          <reference field="1" count="1" defaultSubtotal="1">
            <x v="44"/>
          </reference>
          <reference field="6" count="1" selected="0">
            <x v="0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1" selected="0">
            <x v="0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19"/>
          </reference>
          <reference field="1" count="1" defaultSubtotal="1">
            <x v="40"/>
          </reference>
          <reference field="6" count="1" selected="0">
            <x v="0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1" selected="0">
            <x v="0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21"/>
          </reference>
          <reference field="1" count="1" defaultSubtotal="1">
            <x v="43"/>
          </reference>
          <reference field="6" count="1" selected="0">
            <x v="0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1" selected="0">
            <x v="0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23"/>
          </reference>
          <reference field="1" count="1" defaultSubtotal="1">
            <x v="47"/>
          </reference>
          <reference field="6" count="1" selected="0">
            <x v="0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1" selected="0">
            <x v="0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24"/>
          </reference>
          <reference field="1" count="1" defaultSubtotal="1">
            <x v="49"/>
          </reference>
          <reference field="6" count="1" selected="0">
            <x v="0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1" selected="0">
            <x v="0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29"/>
          </reference>
          <reference field="1" count="1" defaultSubtotal="1">
            <x v="53"/>
          </reference>
          <reference field="6" count="1" selected="0">
            <x v="0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1" selected="0">
            <x v="0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33"/>
          </reference>
          <reference field="1" count="1" defaultSubtotal="1">
            <x v="48"/>
          </reference>
          <reference field="6" count="1" selected="0">
            <x v="0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1" selected="0">
            <x v="0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40"/>
          </reference>
          <reference field="1" count="1" defaultSubtotal="1">
            <x v="45"/>
          </reference>
          <reference field="6" count="1" selected="0">
            <x v="0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1" selected="0">
            <x v="0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43"/>
          </reference>
          <reference field="1" count="1" defaultSubtotal="1">
            <x v="50"/>
          </reference>
          <reference field="6" count="1" selected="0">
            <x v="0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0"/>
          </reference>
          <reference field="1" count="1">
            <x v="21"/>
          </reference>
          <reference field="6" count="1" selected="0">
            <x v="1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0"/>
          </reference>
          <reference field="1" count="1" defaultSubtotal="1">
            <x v="21"/>
          </reference>
          <reference field="6" count="1" selected="0">
            <x v="1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2"/>
          </reference>
          <reference field="1" count="1">
            <x v="27"/>
          </reference>
          <reference field="6" count="1" selected="0">
            <x v="1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2"/>
          </reference>
          <reference field="1" count="1" defaultSubtotal="1">
            <x v="27"/>
          </reference>
          <reference field="6" count="1" selected="0">
            <x v="1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3"/>
          </reference>
          <reference field="1" count="1">
            <x v="4"/>
          </reference>
          <reference field="6" count="1" selected="0">
            <x v="1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3"/>
          </reference>
          <reference field="1" count="1" defaultSubtotal="1">
            <x v="4"/>
          </reference>
          <reference field="6" count="1" selected="0">
            <x v="1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4"/>
          </reference>
          <reference field="1" count="1">
            <x v="25"/>
          </reference>
          <reference field="6" count="1" selected="0">
            <x v="1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4"/>
          </reference>
          <reference field="1" count="1" defaultSubtotal="1">
            <x v="25"/>
          </reference>
          <reference field="6" count="1" selected="0">
            <x v="1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5"/>
          </reference>
          <reference field="1" count="1">
            <x v="7"/>
          </reference>
          <reference field="6" count="1" selected="0">
            <x v="1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5"/>
          </reference>
          <reference field="1" count="1" defaultSubtotal="1">
            <x v="7"/>
          </reference>
          <reference field="6" count="1" selected="0">
            <x v="1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6"/>
          </reference>
          <reference field="1" count="1">
            <x v="8"/>
          </reference>
          <reference field="6" count="1" selected="0">
            <x v="1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6"/>
          </reference>
          <reference field="1" count="1" defaultSubtotal="1">
            <x v="8"/>
          </reference>
          <reference field="6" count="1" selected="0">
            <x v="1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7"/>
          </reference>
          <reference field="1" count="1">
            <x v="18"/>
          </reference>
          <reference field="6" count="1" selected="0">
            <x v="1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7"/>
          </reference>
          <reference field="1" count="1" defaultSubtotal="1">
            <x v="18"/>
          </reference>
          <reference field="6" count="1" selected="0">
            <x v="1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11"/>
          </reference>
          <reference field="1" count="1">
            <x v="16"/>
          </reference>
          <reference field="6" count="1" selected="0">
            <x v="1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11"/>
          </reference>
          <reference field="1" count="1" defaultSubtotal="1">
            <x v="16"/>
          </reference>
          <reference field="6" count="1" selected="0">
            <x v="1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15"/>
          </reference>
          <reference field="1" count="1">
            <x v="20"/>
          </reference>
          <reference field="6" count="1" selected="0">
            <x v="1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15"/>
          </reference>
          <reference field="1" count="1" defaultSubtotal="1">
            <x v="20"/>
          </reference>
          <reference field="6" count="1" selected="0">
            <x v="1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18"/>
          </reference>
          <reference field="1" count="1">
            <x v="11"/>
          </reference>
          <reference field="6" count="1" selected="0">
            <x v="1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18"/>
          </reference>
          <reference field="1" count="1" defaultSubtotal="1">
            <x v="11"/>
          </reference>
          <reference field="6" count="1" selected="0">
            <x v="1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20"/>
          </reference>
          <reference field="1" count="1">
            <x v="41"/>
          </reference>
          <reference field="6" count="1" selected="0">
            <x v="1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20"/>
          </reference>
          <reference field="1" count="1" defaultSubtotal="1">
            <x v="41"/>
          </reference>
          <reference field="6" count="1" selected="0">
            <x v="1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22"/>
          </reference>
          <reference field="1" count="1">
            <x v="29"/>
          </reference>
          <reference field="6" count="1" selected="0">
            <x v="1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22"/>
          </reference>
          <reference field="1" count="1" defaultSubtotal="1">
            <x v="29"/>
          </reference>
          <reference field="6" count="1" selected="0">
            <x v="1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5"/>
          </reference>
          <reference field="1" count="1">
            <x v="13"/>
          </reference>
          <reference field="6" count="1" selected="0">
            <x v="1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25"/>
          </reference>
          <reference field="1" count="1" defaultSubtotal="1">
            <x v="13"/>
          </reference>
          <reference field="6" count="1" selected="0">
            <x v="1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26"/>
          </reference>
          <reference field="1" count="1">
            <x v="14"/>
          </reference>
          <reference field="6" count="1" selected="0">
            <x v="1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26"/>
          </reference>
          <reference field="1" count="1" defaultSubtotal="1">
            <x v="14"/>
          </reference>
          <reference field="6" count="1" selected="0">
            <x v="1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28"/>
          </reference>
          <reference field="1" count="1">
            <x v="15"/>
          </reference>
          <reference field="6" count="1" selected="0">
            <x v="1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28"/>
          </reference>
          <reference field="1" count="1" defaultSubtotal="1">
            <x v="15"/>
          </reference>
          <reference field="6" count="1" selected="0">
            <x v="1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35"/>
          </reference>
          <reference field="1" count="1">
            <x v="3"/>
          </reference>
          <reference field="6" count="1" selected="0">
            <x v="1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35"/>
          </reference>
          <reference field="1" count="1" defaultSubtotal="1">
            <x v="3"/>
          </reference>
          <reference field="6" count="1" selected="0">
            <x v="1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36"/>
          </reference>
          <reference field="1" count="1">
            <x v="0"/>
          </reference>
          <reference field="6" count="1" selected="0">
            <x v="1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36"/>
          </reference>
          <reference field="1" count="1" defaultSubtotal="1">
            <x v="0"/>
          </reference>
          <reference field="6" count="1" selected="0">
            <x v="1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37"/>
          </reference>
          <reference field="1" count="1">
            <x v="6"/>
          </reference>
          <reference field="6" count="1" selected="0">
            <x v="1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37"/>
          </reference>
          <reference field="1" count="1" defaultSubtotal="1">
            <x v="6"/>
          </reference>
          <reference field="6" count="1" selected="0">
            <x v="1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38"/>
          </reference>
          <reference field="1" count="1">
            <x v="28"/>
          </reference>
          <reference field="6" count="1" selected="0">
            <x v="1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38"/>
          </reference>
          <reference field="1" count="1" defaultSubtotal="1">
            <x v="28"/>
          </reference>
          <reference field="6" count="1" selected="0">
            <x v="1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39"/>
          </reference>
          <reference field="1" count="1">
            <x v="24"/>
          </reference>
          <reference field="6" count="1" selected="0">
            <x v="1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39"/>
          </reference>
          <reference field="1" count="1" defaultSubtotal="1">
            <x v="24"/>
          </reference>
          <reference field="6" count="1" selected="0">
            <x v="1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41"/>
          </reference>
          <reference field="1" count="1">
            <x v="22"/>
          </reference>
          <reference field="6" count="1" selected="0">
            <x v="1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41"/>
          </reference>
          <reference field="1" count="1" defaultSubtotal="1">
            <x v="22"/>
          </reference>
          <reference field="6" count="1" selected="0">
            <x v="1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42"/>
          </reference>
          <reference field="1" count="1">
            <x v="10"/>
          </reference>
          <reference field="6" count="1" selected="0">
            <x v="1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42"/>
          </reference>
          <reference field="1" count="1" defaultSubtotal="1">
            <x v="10"/>
          </reference>
          <reference field="6" count="1" selected="0">
            <x v="1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44"/>
          </reference>
          <reference field="1" count="1">
            <x v="23"/>
          </reference>
          <reference field="6" count="1" selected="0">
            <x v="1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44"/>
          </reference>
          <reference field="1" count="1" defaultSubtotal="1">
            <x v="23"/>
          </reference>
          <reference field="6" count="1" selected="0">
            <x v="1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45"/>
          </reference>
          <reference field="1" count="1">
            <x v="36"/>
          </reference>
          <reference field="6" count="1" selected="0">
            <x v="1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45"/>
          </reference>
          <reference field="1" count="1" defaultSubtotal="1">
            <x v="36"/>
          </reference>
          <reference field="6" count="1" selected="0">
            <x v="1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46"/>
          </reference>
          <reference field="1" count="1">
            <x v="30"/>
          </reference>
          <reference field="6" count="1" selected="0">
            <x v="1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46"/>
          </reference>
          <reference field="1" count="1" defaultSubtotal="1">
            <x v="30"/>
          </reference>
          <reference field="6" count="1" selected="0">
            <x v="1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47"/>
          </reference>
          <reference field="1" count="1">
            <x v="34"/>
          </reference>
          <reference field="6" count="1" selected="0">
            <x v="1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47"/>
          </reference>
          <reference field="1" count="1" defaultSubtotal="1">
            <x v="34"/>
          </reference>
          <reference field="6" count="1" selected="0">
            <x v="1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48"/>
          </reference>
          <reference field="1" count="1">
            <x v="31"/>
          </reference>
          <reference field="6" count="1" selected="0">
            <x v="1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48"/>
          </reference>
          <reference field="1" count="1" defaultSubtotal="1">
            <x v="31"/>
          </reference>
          <reference field="6" count="1" selected="0">
            <x v="1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49"/>
          </reference>
          <reference field="1" count="1">
            <x v="32"/>
          </reference>
          <reference field="6" count="1" selected="0">
            <x v="1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49"/>
          </reference>
          <reference field="1" count="1" defaultSubtotal="1">
            <x v="32"/>
          </reference>
          <reference field="6" count="1" selected="0">
            <x v="1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50"/>
          </reference>
          <reference field="1" count="1">
            <x v="33"/>
          </reference>
          <reference field="6" count="1" selected="0">
            <x v="1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50"/>
          </reference>
          <reference field="1" count="1" defaultSubtotal="1">
            <x v="33"/>
          </reference>
          <reference field="6" count="1" selected="0">
            <x v="1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52"/>
          </reference>
          <reference field="1" count="1">
            <x v="17"/>
          </reference>
          <reference field="6" count="1" selected="0">
            <x v="1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52"/>
          </reference>
          <reference field="1" count="1" defaultSubtotal="1">
            <x v="17"/>
          </reference>
          <reference field="6" count="1" selected="0">
            <x v="1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53"/>
          </reference>
          <reference field="1" count="1">
            <x v="35"/>
          </reference>
          <reference field="6" count="1" selected="0">
            <x v="1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53"/>
          </reference>
          <reference field="1" count="1" defaultSubtotal="1">
            <x v="35"/>
          </reference>
          <reference field="6" count="1" selected="0">
            <x v="1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1"/>
          </reference>
          <reference field="1" count="1">
            <x v="5"/>
          </reference>
          <reference field="6" count="1" selected="0">
            <x v="2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1"/>
          </reference>
          <reference field="1" count="1" defaultSubtotal="1">
            <x v="5"/>
          </reference>
          <reference field="6" count="1" selected="0">
            <x v="2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27"/>
          </reference>
          <reference field="1" count="1">
            <x v="2"/>
          </reference>
          <reference field="6" count="1" selected="0">
            <x v="2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27"/>
          </reference>
          <reference field="1" count="1" defaultSubtotal="1">
            <x v="2"/>
          </reference>
          <reference field="6" count="1" selected="0">
            <x v="2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30"/>
          </reference>
          <reference field="1" count="1">
            <x v="12"/>
          </reference>
          <reference field="6" count="1" selected="0">
            <x v="2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30"/>
          </reference>
          <reference field="1" count="1" defaultSubtotal="1">
            <x v="12"/>
          </reference>
          <reference field="6" count="1" selected="0">
            <x v="2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31"/>
          </reference>
          <reference field="1" count="1">
            <x v="26"/>
          </reference>
          <reference field="6" count="1" selected="0">
            <x v="2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31"/>
          </reference>
          <reference field="1" count="1" defaultSubtotal="1">
            <x v="26"/>
          </reference>
          <reference field="6" count="1" selected="0">
            <x v="2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32"/>
          </reference>
          <reference field="1" count="1">
            <x v="19"/>
          </reference>
          <reference field="6" count="1" selected="0">
            <x v="2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32"/>
          </reference>
          <reference field="1" count="1" defaultSubtotal="1">
            <x v="19"/>
          </reference>
          <reference field="6" count="1" selected="0">
            <x v="2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34"/>
          </reference>
          <reference field="1" count="1">
            <x v="1"/>
          </reference>
          <reference field="6" count="1" selected="0">
            <x v="2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34"/>
          </reference>
          <reference field="1" count="1" defaultSubtotal="1">
            <x v="1"/>
          </reference>
          <reference field="6" count="1" selected="0">
            <x v="2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51"/>
          </reference>
          <reference field="1" count="1">
            <x v="9"/>
          </reference>
          <reference field="6" count="1" selected="0">
            <x v="2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51"/>
          </reference>
          <reference field="1" count="1" defaultSubtotal="1">
            <x v="9"/>
          </reference>
          <reference field="6" count="1" selected="0">
            <x v="2"/>
          </reference>
        </references>
      </pivotArea>
    </format>
    <format dxfId="97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7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7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8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81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82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83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84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85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86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87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88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89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90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91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92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93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94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95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96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97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998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99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1" selected="0">
            <x v="0"/>
          </reference>
        </references>
      </pivotArea>
    </format>
    <format dxfId="100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 defaultSubtotal="1">
            <x v="2"/>
          </reference>
          <reference field="6" count="1" selected="0">
            <x v="0"/>
          </reference>
        </references>
      </pivotArea>
    </format>
    <format dxfId="1001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002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003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004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005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006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007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008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0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1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1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1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101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101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2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2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102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1023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1024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1025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>
            <x v="0"/>
          </reference>
          <reference field="6" count="1" selected="0">
            <x v="1"/>
          </reference>
        </references>
      </pivotArea>
    </format>
    <format dxfId="102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 defaultSubtotal="1">
            <x v="0"/>
          </reference>
          <reference field="6" count="1" selected="0">
            <x v="1"/>
          </reference>
        </references>
      </pivotArea>
    </format>
    <format dxfId="1027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28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29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30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31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1032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1033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34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35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36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37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38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39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40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41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42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43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44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45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1046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1047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48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49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50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51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52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53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54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55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56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57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58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59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60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61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62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63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64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65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66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67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68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69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1070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10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10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1073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1074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1075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1076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1077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1078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1079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1080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1081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1082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1083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1084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1085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86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87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88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89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90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91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92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93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94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95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96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97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098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099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00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01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02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03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04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05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06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07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08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09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10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11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12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13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1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15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1116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111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1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1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112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112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12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 defaultSubtotal="1">
            <x v="5"/>
          </reference>
          <reference field="6" count="1" selected="0">
            <x v="1"/>
          </reference>
        </references>
      </pivotArea>
    </format>
    <format dxfId="11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11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11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11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11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>
            <x v="4"/>
          </reference>
          <reference field="6" count="1" selected="0">
            <x v="1"/>
          </reference>
        </references>
      </pivotArea>
    </format>
    <format dxfId="11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 defaultSubtotal="1">
            <x v="4"/>
          </reference>
          <reference field="6" count="1" selected="0">
            <x v="1"/>
          </reference>
        </references>
      </pivotArea>
    </format>
    <format dxfId="112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113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1131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32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33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1134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1135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1136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1137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38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39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1140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1141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>
            <x v="8"/>
          </reference>
          <reference field="6" count="1" selected="0">
            <x v="1"/>
          </reference>
        </references>
      </pivotArea>
    </format>
    <format dxfId="1142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 defaultSubtotal="1">
            <x v="8"/>
          </reference>
          <reference field="6" count="1" selected="0">
            <x v="1"/>
          </reference>
        </references>
      </pivotArea>
    </format>
    <format dxfId="1143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44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45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>
            <x v="1"/>
          </reference>
          <reference field="6" count="1" selected="0">
            <x v="1"/>
          </reference>
        </references>
      </pivotArea>
    </format>
    <format dxfId="114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 defaultSubtotal="1">
            <x v="1"/>
          </reference>
          <reference field="6" count="1" selected="0">
            <x v="1"/>
          </reference>
        </references>
      </pivotArea>
    </format>
    <format dxfId="1147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48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49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1150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1151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1152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1153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54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55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1156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1157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1158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1159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1160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1161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1162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1163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1164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1165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1166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1167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68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69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>
            <x v="7"/>
          </reference>
          <reference field="6" count="1" selected="0">
            <x v="1"/>
          </reference>
        </references>
      </pivotArea>
    </format>
    <format dxfId="1170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 defaultSubtotal="1">
            <x v="7"/>
          </reference>
          <reference field="6" count="1" selected="0">
            <x v="1"/>
          </reference>
        </references>
      </pivotArea>
    </format>
    <format dxfId="1171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72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73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1174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1175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76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77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1178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11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81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82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83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84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85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86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87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88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89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90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91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1192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1193">
      <pivotArea type="all" dataOnly="0" outline="0" fieldPosition="0"/>
    </format>
    <format dxfId="1194">
      <pivotArea field="6" type="button" dataOnly="0" labelOnly="1" outline="0" axis="axisRow" fieldPosition="0"/>
    </format>
    <format dxfId="1195">
      <pivotArea field="0" type="button" dataOnly="0" labelOnly="1" outline="0" axis="axisRow" fieldPosition="1"/>
    </format>
    <format dxfId="1196">
      <pivotArea field="1" type="button" dataOnly="0" labelOnly="1" outline="0" axis="axisRow" fieldPosition="2"/>
    </format>
    <format dxfId="1197">
      <pivotArea field="2" type="button" dataOnly="0" labelOnly="1" outline="0" axis="axisRow" fieldPosition="3"/>
    </format>
    <format dxfId="1198">
      <pivotArea field="4" type="button" dataOnly="0" labelOnly="1" outline="0" axis="axisRow" fieldPosition="4"/>
    </format>
    <format dxfId="1199">
      <pivotArea field="7" type="button" dataOnly="0" labelOnly="1" outline="0" axis="axisRow" fieldPosition="5"/>
    </format>
    <format dxfId="1200">
      <pivotArea dataOnly="0" labelOnly="1" outline="0" fieldPosition="0">
        <references count="1">
          <reference field="6" count="0"/>
        </references>
      </pivotArea>
    </format>
    <format dxfId="120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1202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1203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1204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120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1206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1207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1208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1209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1210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1211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1212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1213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1214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121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1216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1217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121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121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1220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1221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  <format dxfId="1222">
      <pivotArea type="all" dataOnly="0" outline="0" fieldPosition="0"/>
    </format>
    <format dxfId="1223">
      <pivotArea field="6" type="button" dataOnly="0" labelOnly="1" outline="0" axis="axisRow" fieldPosition="0"/>
    </format>
    <format dxfId="1224">
      <pivotArea field="0" type="button" dataOnly="0" labelOnly="1" outline="0" axis="axisRow" fieldPosition="1"/>
    </format>
    <format dxfId="1225">
      <pivotArea field="1" type="button" dataOnly="0" labelOnly="1" outline="0" axis="axisRow" fieldPosition="2"/>
    </format>
    <format dxfId="1226">
      <pivotArea field="2" type="button" dataOnly="0" labelOnly="1" outline="0" axis="axisRow" fieldPosition="3"/>
    </format>
    <format dxfId="1227">
      <pivotArea field="4" type="button" dataOnly="0" labelOnly="1" outline="0" axis="axisRow" fieldPosition="4"/>
    </format>
    <format dxfId="1228">
      <pivotArea field="7" type="button" dataOnly="0" labelOnly="1" outline="0" axis="axisRow" fieldPosition="5"/>
    </format>
    <format dxfId="1229">
      <pivotArea dataOnly="0" labelOnly="1" outline="0" fieldPosition="0">
        <references count="1">
          <reference field="6" count="0"/>
        </references>
      </pivotArea>
    </format>
    <format dxfId="1230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1231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1232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123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1234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1235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1236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1237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1238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1239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1240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1241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1242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124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1244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1245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1246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124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124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1249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1250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</formats>
  <pivotTableStyleInfo name="PivotStyleDark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7B841-624D-4165-842A-1CA669AD2C4F}" name="Tabela Dinâmica1" cacheId="275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B2:G33" firstHeaderRow="1" firstDataRow="1" firstDataCol="6"/>
  <pivotFields count="9">
    <pivotField axis="axisRow" compact="0" outline="0" showAll="0" defaultSubtotal="0">
      <items count="54">
        <item x="39"/>
        <item x="52"/>
        <item x="18"/>
        <item x="29"/>
        <item x="16"/>
        <item x="34"/>
        <item x="17"/>
        <item x="33"/>
        <item x="7"/>
        <item x="11"/>
        <item x="13"/>
        <item x="44"/>
        <item x="0"/>
        <item x="5"/>
        <item x="12"/>
        <item x="22"/>
        <item x="9"/>
        <item x="6"/>
        <item x="19"/>
        <item x="4"/>
        <item x="42"/>
        <item x="8"/>
        <item x="21"/>
        <item x="2"/>
        <item x="15"/>
        <item x="20"/>
        <item x="46"/>
        <item x="51"/>
        <item x="28"/>
        <item x="14"/>
        <item x="49"/>
        <item x="48"/>
        <item x="47"/>
        <item x="3"/>
        <item x="50"/>
        <item x="41"/>
        <item x="35"/>
        <item x="36"/>
        <item x="43"/>
        <item x="23"/>
        <item x="10"/>
        <item x="31"/>
        <item x="32"/>
        <item x="1"/>
        <item x="27"/>
        <item x="25"/>
        <item x="26"/>
        <item x="37"/>
        <item x="30"/>
        <item x="45"/>
        <item x="24"/>
        <item x="53"/>
        <item x="38"/>
        <item x="40"/>
      </items>
    </pivotField>
    <pivotField axis="axisRow" compact="0" outline="0" showAll="0" defaultSubtotal="0">
      <items count="54">
        <item x="35"/>
        <item x="50"/>
        <item x="51"/>
        <item x="41"/>
        <item x="29"/>
        <item x="52"/>
        <item x="36"/>
        <item x="34"/>
        <item x="17"/>
        <item x="53"/>
        <item x="32"/>
        <item x="19"/>
        <item x="49"/>
        <item x="20"/>
        <item x="46"/>
        <item x="28"/>
        <item x="44"/>
        <item x="38"/>
        <item x="33"/>
        <item x="47"/>
        <item x="22"/>
        <item x="39"/>
        <item x="31"/>
        <item x="27"/>
        <item x="23"/>
        <item x="16"/>
        <item x="48"/>
        <item x="18"/>
        <item x="43"/>
        <item x="21"/>
        <item x="26"/>
        <item x="30"/>
        <item x="45"/>
        <item x="24"/>
        <item x="37"/>
        <item x="40"/>
        <item x="25"/>
        <item x="11"/>
        <item x="7"/>
        <item x="5"/>
        <item x="4"/>
        <item x="42"/>
        <item x="0"/>
        <item x="8"/>
        <item x="6"/>
        <item x="10"/>
        <item x="13"/>
        <item x="2"/>
        <item x="3"/>
        <item x="15"/>
        <item x="1"/>
        <item x="9"/>
        <item x="12"/>
        <item x="14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11">
        <item x="5"/>
        <item x="6"/>
        <item x="4"/>
        <item x="10"/>
        <item x="2"/>
        <item x="7"/>
        <item x="1"/>
        <item x="8"/>
        <item x="3"/>
        <item x="9"/>
        <item x="0"/>
      </items>
    </pivotField>
    <pivotField compact="0" outline="0" showAll="0" defaultSubtotal="0"/>
    <pivotField axis="axisRow" compact="0" outline="0" showAll="0" defaultSubtotal="0">
      <items count="3">
        <item h="1" x="0"/>
        <item x="1"/>
        <item h="1" x="2"/>
      </items>
    </pivotField>
    <pivotField axis="axisRow" compact="0" outline="0" showAll="0" defaultSubtotal="0">
      <items count="5">
        <item x="4"/>
        <item x="3"/>
        <item x="2"/>
        <item x="1"/>
        <item x="0"/>
      </items>
    </pivotField>
    <pivotField compact="0" outline="0" showAll="0" defaultSubtotal="0"/>
  </pivotFields>
  <rowFields count="6">
    <field x="6"/>
    <field x="0"/>
    <field x="1"/>
    <field x="2"/>
    <field x="4"/>
    <field x="7"/>
  </rowFields>
  <rowItems count="31">
    <i>
      <x v="1"/>
      <x/>
      <x v="21"/>
      <x v="1"/>
      <x v="10"/>
      <x v="1"/>
    </i>
    <i r="1">
      <x v="2"/>
      <x v="27"/>
      <x v="1"/>
      <x v="6"/>
      <x v="2"/>
    </i>
    <i r="1">
      <x v="3"/>
      <x v="4"/>
      <x v="1"/>
      <x v="5"/>
      <x v="2"/>
    </i>
    <i r="1">
      <x v="4"/>
      <x v="25"/>
      <x v="1"/>
      <x v="6"/>
      <x v="2"/>
    </i>
    <i r="1">
      <x v="5"/>
      <x v="7"/>
      <x v="2"/>
      <x v="3"/>
      <x v="2"/>
    </i>
    <i r="1">
      <x v="6"/>
      <x v="8"/>
      <x v="1"/>
      <x v="4"/>
      <x v="2"/>
    </i>
    <i r="1">
      <x v="7"/>
      <x v="18"/>
      <x v="2"/>
      <x v="9"/>
      <x v="2"/>
    </i>
    <i r="1">
      <x v="11"/>
      <x v="16"/>
      <x v="2"/>
      <x v="10"/>
      <x/>
    </i>
    <i r="1">
      <x v="15"/>
      <x v="20"/>
      <x/>
      <x v="2"/>
      <x v="2"/>
    </i>
    <i r="1">
      <x v="18"/>
      <x v="11"/>
      <x v="1"/>
      <x v="6"/>
      <x v="2"/>
    </i>
    <i r="1">
      <x v="20"/>
      <x v="41"/>
      <x v="1"/>
      <x v="10"/>
      <x v="2"/>
    </i>
    <i r="1">
      <x v="22"/>
      <x v="29"/>
      <x v="2"/>
      <x v="6"/>
      <x v="2"/>
    </i>
    <i r="1">
      <x v="25"/>
      <x v="13"/>
      <x v="1"/>
      <x v="8"/>
      <x v="3"/>
    </i>
    <i r="1">
      <x v="26"/>
      <x v="14"/>
      <x v="1"/>
      <x v="10"/>
      <x/>
    </i>
    <i r="1">
      <x v="28"/>
      <x v="15"/>
      <x v="1"/>
      <x v="1"/>
      <x v="2"/>
    </i>
    <i r="1">
      <x v="35"/>
      <x v="3"/>
      <x v="1"/>
      <x v="10"/>
      <x v="3"/>
    </i>
    <i r="1">
      <x v="36"/>
      <x/>
      <x v="1"/>
      <x v="3"/>
      <x v="2"/>
    </i>
    <i r="1">
      <x v="37"/>
      <x v="6"/>
      <x v="1"/>
      <x v="3"/>
      <x v="2"/>
    </i>
    <i r="1">
      <x v="38"/>
      <x v="28"/>
      <x v="2"/>
      <x v="10"/>
      <x/>
    </i>
    <i r="1">
      <x v="39"/>
      <x v="24"/>
      <x v="1"/>
      <x/>
      <x v="2"/>
    </i>
    <i r="1">
      <x v="41"/>
      <x v="22"/>
      <x v="1"/>
      <x v="9"/>
      <x v="2"/>
    </i>
    <i r="1">
      <x v="42"/>
      <x v="10"/>
      <x v="1"/>
      <x v="3"/>
      <x v="2"/>
    </i>
    <i r="1">
      <x v="44"/>
      <x v="23"/>
      <x v="1"/>
      <x/>
      <x v="2"/>
    </i>
    <i r="1">
      <x v="45"/>
      <x v="36"/>
      <x v="1"/>
      <x/>
      <x v="2"/>
    </i>
    <i r="1">
      <x v="46"/>
      <x v="30"/>
      <x v="1"/>
      <x/>
      <x v="2"/>
    </i>
    <i r="1">
      <x v="47"/>
      <x v="34"/>
      <x v="1"/>
      <x v="10"/>
      <x/>
    </i>
    <i r="1">
      <x v="48"/>
      <x v="31"/>
      <x v="1"/>
      <x v="7"/>
      <x/>
    </i>
    <i r="1">
      <x v="49"/>
      <x v="32"/>
      <x v="1"/>
      <x v="10"/>
      <x/>
    </i>
    <i r="1">
      <x v="50"/>
      <x v="33"/>
      <x v="1"/>
      <x v="2"/>
      <x v="1"/>
    </i>
    <i r="1">
      <x v="52"/>
      <x v="17"/>
      <x v="1"/>
      <x v="10"/>
      <x v="1"/>
    </i>
    <i r="1">
      <x v="53"/>
      <x v="35"/>
      <x v="1"/>
      <x v="10"/>
      <x/>
    </i>
  </rowItems>
  <colItems count="1">
    <i/>
  </colItems>
  <formats count="400">
    <format dxfId="451">
      <pivotArea type="all" dataOnly="0" outline="0" fieldPosition="0"/>
    </format>
    <format dxfId="452">
      <pivotArea field="6" type="button" dataOnly="0" labelOnly="1" outline="0" axis="axisRow" fieldPosition="0"/>
    </format>
    <format dxfId="453">
      <pivotArea field="0" type="button" dataOnly="0" labelOnly="1" outline="0" axis="axisRow" fieldPosition="1"/>
    </format>
    <format dxfId="454">
      <pivotArea field="1" type="button" dataOnly="0" labelOnly="1" outline="0" axis="axisRow" fieldPosition="2"/>
    </format>
    <format dxfId="455">
      <pivotArea field="2" type="button" dataOnly="0" labelOnly="1" outline="0" axis="axisRow" fieldPosition="3"/>
    </format>
    <format dxfId="456">
      <pivotArea field="4" type="button" dataOnly="0" labelOnly="1" outline="0" axis="axisRow" fieldPosition="4"/>
    </format>
    <format dxfId="457">
      <pivotArea field="7" type="button" dataOnly="0" labelOnly="1" outline="0" axis="axisRow" fieldPosition="5"/>
    </format>
    <format dxfId="458">
      <pivotArea dataOnly="0" labelOnly="1" outline="0" fieldPosition="0">
        <references count="1">
          <reference field="6" count="0"/>
        </references>
      </pivotArea>
    </format>
    <format dxfId="459">
      <pivotArea dataOnly="0" labelOnly="1" outline="0" fieldPosition="0">
        <references count="1">
          <reference field="6" count="0" defaultSubtotal="1"/>
        </references>
      </pivotArea>
    </format>
    <format dxfId="460">
      <pivotArea dataOnly="0" labelOnly="1" grandRow="1" outline="0" fieldPosition="0"/>
    </format>
    <format dxfId="46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462">
      <pivotArea dataOnly="0" labelOnly="1" outline="0" fieldPosition="0">
        <references count="2">
          <reference field="0" count="16" defaultSubtotal="1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463">
      <pivotArea dataOnly="0" labelOnly="1" outline="0" fieldPosition="0">
        <references count="2">
          <reference field="0" count="25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464">
      <pivotArea dataOnly="0" labelOnly="1" outline="0" fieldPosition="0">
        <references count="2">
          <reference field="0" count="25" defaultSubtotal="1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465">
      <pivotArea dataOnly="0" labelOnly="1" outline="0" fieldPosition="0">
        <references count="2">
          <reference field="0" count="6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466">
      <pivotArea dataOnly="0" labelOnly="1" outline="0" fieldPosition="0">
        <references count="2">
          <reference field="0" count="6" defaultSubtotal="1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467">
      <pivotArea dataOnly="0" labelOnly="1" outline="0" fieldPosition="0">
        <references count="2">
          <reference field="0" count="7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468">
      <pivotArea dataOnly="0" labelOnly="1" outline="0" fieldPosition="0">
        <references count="2">
          <reference field="0" count="7" defaultSubtotal="1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1" selected="0">
            <x v="0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8"/>
          </reference>
          <reference field="1" count="1" defaultSubtotal="1">
            <x v="38"/>
          </reference>
          <reference field="6" count="1" selected="0">
            <x v="0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1" selected="0">
            <x v="0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9"/>
          </reference>
          <reference field="1" count="1" defaultSubtotal="1">
            <x v="37"/>
          </reference>
          <reference field="6" count="1" selected="0">
            <x v="0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1" selected="0">
            <x v="0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0"/>
          </reference>
          <reference field="1" count="1" defaultSubtotal="1">
            <x v="46"/>
          </reference>
          <reference field="6" count="1" selected="0">
            <x v="0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1" selected="0">
            <x v="0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12"/>
          </reference>
          <reference field="1" count="1" defaultSubtotal="1">
            <x v="42"/>
          </reference>
          <reference field="6" count="1" selected="0">
            <x v="0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1" selected="0">
            <x v="0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13"/>
          </reference>
          <reference field="1" count="1" defaultSubtotal="1">
            <x v="39"/>
          </reference>
          <reference field="6" count="1" selected="0">
            <x v="0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1" selected="0">
            <x v="0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14"/>
          </reference>
          <reference field="1" count="1" defaultSubtotal="1">
            <x v="52"/>
          </reference>
          <reference field="6" count="1" selected="0">
            <x v="0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1" selected="0">
            <x v="0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16"/>
          </reference>
          <reference field="1" count="1" defaultSubtotal="1">
            <x v="51"/>
          </reference>
          <reference field="6" count="1" selected="0">
            <x v="0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1" selected="0">
            <x v="0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17"/>
          </reference>
          <reference field="1" count="1" defaultSubtotal="1">
            <x v="44"/>
          </reference>
          <reference field="6" count="1" selected="0">
            <x v="0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1" selected="0">
            <x v="0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19"/>
          </reference>
          <reference field="1" count="1" defaultSubtotal="1">
            <x v="40"/>
          </reference>
          <reference field="6" count="1" selected="0">
            <x v="0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1" selected="0">
            <x v="0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21"/>
          </reference>
          <reference field="1" count="1" defaultSubtotal="1">
            <x v="43"/>
          </reference>
          <reference field="6" count="1" selected="0">
            <x v="0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1" selected="0">
            <x v="0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23"/>
          </reference>
          <reference field="1" count="1" defaultSubtotal="1">
            <x v="47"/>
          </reference>
          <reference field="6" count="1" selected="0">
            <x v="0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1" selected="0">
            <x v="0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24"/>
          </reference>
          <reference field="1" count="1" defaultSubtotal="1">
            <x v="49"/>
          </reference>
          <reference field="6" count="1" selected="0">
            <x v="0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1" selected="0">
            <x v="0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29"/>
          </reference>
          <reference field="1" count="1" defaultSubtotal="1">
            <x v="53"/>
          </reference>
          <reference field="6" count="1" selected="0">
            <x v="0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1" selected="0">
            <x v="0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33"/>
          </reference>
          <reference field="1" count="1" defaultSubtotal="1">
            <x v="48"/>
          </reference>
          <reference field="6" count="1" selected="0">
            <x v="0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1" selected="0">
            <x v="0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40"/>
          </reference>
          <reference field="1" count="1" defaultSubtotal="1">
            <x v="45"/>
          </reference>
          <reference field="6" count="1" selected="0">
            <x v="0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1" selected="0">
            <x v="0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43"/>
          </reference>
          <reference field="1" count="1" defaultSubtotal="1">
            <x v="50"/>
          </reference>
          <reference field="6" count="1" selected="0">
            <x v="0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0"/>
          </reference>
          <reference field="1" count="1">
            <x v="21"/>
          </reference>
          <reference field="6" count="1" selected="0">
            <x v="1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0"/>
          </reference>
          <reference field="1" count="1" defaultSubtotal="1">
            <x v="21"/>
          </reference>
          <reference field="6" count="1" selected="0">
            <x v="1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2"/>
          </reference>
          <reference field="1" count="1">
            <x v="27"/>
          </reference>
          <reference field="6" count="1" selected="0">
            <x v="1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2"/>
          </reference>
          <reference field="1" count="1" defaultSubtotal="1">
            <x v="27"/>
          </reference>
          <reference field="6" count="1" selected="0">
            <x v="1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3"/>
          </reference>
          <reference field="1" count="1">
            <x v="4"/>
          </reference>
          <reference field="6" count="1" selected="0">
            <x v="1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3"/>
          </reference>
          <reference field="1" count="1" defaultSubtotal="1">
            <x v="4"/>
          </reference>
          <reference field="6" count="1" selected="0">
            <x v="1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4"/>
          </reference>
          <reference field="1" count="1">
            <x v="25"/>
          </reference>
          <reference field="6" count="1" selected="0">
            <x v="1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4"/>
          </reference>
          <reference field="1" count="1" defaultSubtotal="1">
            <x v="25"/>
          </reference>
          <reference field="6" count="1" selected="0">
            <x v="1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5"/>
          </reference>
          <reference field="1" count="1">
            <x v="7"/>
          </reference>
          <reference field="6" count="1" selected="0">
            <x v="1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5"/>
          </reference>
          <reference field="1" count="1" defaultSubtotal="1">
            <x v="7"/>
          </reference>
          <reference field="6" count="1" selected="0">
            <x v="1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6"/>
          </reference>
          <reference field="1" count="1">
            <x v="8"/>
          </reference>
          <reference field="6" count="1" selected="0">
            <x v="1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6"/>
          </reference>
          <reference field="1" count="1" defaultSubtotal="1">
            <x v="8"/>
          </reference>
          <reference field="6" count="1" selected="0">
            <x v="1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7"/>
          </reference>
          <reference field="1" count="1">
            <x v="18"/>
          </reference>
          <reference field="6" count="1" selected="0">
            <x v="1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7"/>
          </reference>
          <reference field="1" count="1" defaultSubtotal="1">
            <x v="18"/>
          </reference>
          <reference field="6" count="1" selected="0">
            <x v="1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11"/>
          </reference>
          <reference field="1" count="1">
            <x v="16"/>
          </reference>
          <reference field="6" count="1" selected="0">
            <x v="1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11"/>
          </reference>
          <reference field="1" count="1" defaultSubtotal="1">
            <x v="16"/>
          </reference>
          <reference field="6" count="1" selected="0">
            <x v="1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15"/>
          </reference>
          <reference field="1" count="1">
            <x v="20"/>
          </reference>
          <reference field="6" count="1" selected="0">
            <x v="1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15"/>
          </reference>
          <reference field="1" count="1" defaultSubtotal="1">
            <x v="20"/>
          </reference>
          <reference field="6" count="1" selected="0">
            <x v="1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18"/>
          </reference>
          <reference field="1" count="1">
            <x v="11"/>
          </reference>
          <reference field="6" count="1" selected="0">
            <x v="1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18"/>
          </reference>
          <reference field="1" count="1" defaultSubtotal="1">
            <x v="11"/>
          </reference>
          <reference field="6" count="1" selected="0">
            <x v="1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20"/>
          </reference>
          <reference field="1" count="1">
            <x v="41"/>
          </reference>
          <reference field="6" count="1" selected="0">
            <x v="1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20"/>
          </reference>
          <reference field="1" count="1" defaultSubtotal="1">
            <x v="41"/>
          </reference>
          <reference field="6" count="1" selected="0">
            <x v="1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22"/>
          </reference>
          <reference field="1" count="1">
            <x v="29"/>
          </reference>
          <reference field="6" count="1" selected="0">
            <x v="1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22"/>
          </reference>
          <reference field="1" count="1" defaultSubtotal="1">
            <x v="29"/>
          </reference>
          <reference field="6" count="1" selected="0">
            <x v="1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25"/>
          </reference>
          <reference field="1" count="1">
            <x v="13"/>
          </reference>
          <reference field="6" count="1" selected="0">
            <x v="1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25"/>
          </reference>
          <reference field="1" count="1" defaultSubtotal="1">
            <x v="13"/>
          </reference>
          <reference field="6" count="1" selected="0">
            <x v="1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26"/>
          </reference>
          <reference field="1" count="1">
            <x v="14"/>
          </reference>
          <reference field="6" count="1" selected="0">
            <x v="1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26"/>
          </reference>
          <reference field="1" count="1" defaultSubtotal="1">
            <x v="14"/>
          </reference>
          <reference field="6" count="1" selected="0">
            <x v="1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28"/>
          </reference>
          <reference field="1" count="1">
            <x v="15"/>
          </reference>
          <reference field="6" count="1" selected="0">
            <x v="1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28"/>
          </reference>
          <reference field="1" count="1" defaultSubtotal="1">
            <x v="15"/>
          </reference>
          <reference field="6" count="1" selected="0">
            <x v="1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35"/>
          </reference>
          <reference field="1" count="1">
            <x v="3"/>
          </reference>
          <reference field="6" count="1" selected="0">
            <x v="1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35"/>
          </reference>
          <reference field="1" count="1" defaultSubtotal="1">
            <x v="3"/>
          </reference>
          <reference field="6" count="1" selected="0">
            <x v="1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36"/>
          </reference>
          <reference field="1" count="1">
            <x v="0"/>
          </reference>
          <reference field="6" count="1" selected="0">
            <x v="1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36"/>
          </reference>
          <reference field="1" count="1" defaultSubtotal="1">
            <x v="0"/>
          </reference>
          <reference field="6" count="1" selected="0">
            <x v="1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37"/>
          </reference>
          <reference field="1" count="1">
            <x v="6"/>
          </reference>
          <reference field="6" count="1" selected="0">
            <x v="1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37"/>
          </reference>
          <reference field="1" count="1" defaultSubtotal="1">
            <x v="6"/>
          </reference>
          <reference field="6" count="1" selected="0">
            <x v="1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38"/>
          </reference>
          <reference field="1" count="1">
            <x v="28"/>
          </reference>
          <reference field="6" count="1" selected="0">
            <x v="1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38"/>
          </reference>
          <reference field="1" count="1" defaultSubtotal="1">
            <x v="28"/>
          </reference>
          <reference field="6" count="1" selected="0">
            <x v="1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39"/>
          </reference>
          <reference field="1" count="1">
            <x v="24"/>
          </reference>
          <reference field="6" count="1" selected="0">
            <x v="1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39"/>
          </reference>
          <reference field="1" count="1" defaultSubtotal="1">
            <x v="24"/>
          </reference>
          <reference field="6" count="1" selected="0">
            <x v="1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41"/>
          </reference>
          <reference field="1" count="1">
            <x v="22"/>
          </reference>
          <reference field="6" count="1" selected="0">
            <x v="1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41"/>
          </reference>
          <reference field="1" count="1" defaultSubtotal="1">
            <x v="22"/>
          </reference>
          <reference field="6" count="1" selected="0">
            <x v="1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42"/>
          </reference>
          <reference field="1" count="1">
            <x v="10"/>
          </reference>
          <reference field="6" count="1" selected="0">
            <x v="1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42"/>
          </reference>
          <reference field="1" count="1" defaultSubtotal="1">
            <x v="10"/>
          </reference>
          <reference field="6" count="1" selected="0">
            <x v="1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44"/>
          </reference>
          <reference field="1" count="1">
            <x v="23"/>
          </reference>
          <reference field="6" count="1" selected="0">
            <x v="1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44"/>
          </reference>
          <reference field="1" count="1" defaultSubtotal="1">
            <x v="23"/>
          </reference>
          <reference field="6" count="1" selected="0">
            <x v="1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45"/>
          </reference>
          <reference field="1" count="1">
            <x v="36"/>
          </reference>
          <reference field="6" count="1" selected="0">
            <x v="1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45"/>
          </reference>
          <reference field="1" count="1" defaultSubtotal="1">
            <x v="36"/>
          </reference>
          <reference field="6" count="1" selected="0">
            <x v="1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46"/>
          </reference>
          <reference field="1" count="1">
            <x v="30"/>
          </reference>
          <reference field="6" count="1" selected="0">
            <x v="1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46"/>
          </reference>
          <reference field="1" count="1" defaultSubtotal="1">
            <x v="30"/>
          </reference>
          <reference field="6" count="1" selected="0">
            <x v="1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47"/>
          </reference>
          <reference field="1" count="1">
            <x v="34"/>
          </reference>
          <reference field="6" count="1" selected="0">
            <x v="1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47"/>
          </reference>
          <reference field="1" count="1" defaultSubtotal="1">
            <x v="34"/>
          </reference>
          <reference field="6" count="1" selected="0">
            <x v="1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48"/>
          </reference>
          <reference field="1" count="1">
            <x v="31"/>
          </reference>
          <reference field="6" count="1" selected="0">
            <x v="1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48"/>
          </reference>
          <reference field="1" count="1" defaultSubtotal="1">
            <x v="31"/>
          </reference>
          <reference field="6" count="1" selected="0">
            <x v="1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49"/>
          </reference>
          <reference field="1" count="1">
            <x v="32"/>
          </reference>
          <reference field="6" count="1" selected="0">
            <x v="1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49"/>
          </reference>
          <reference field="1" count="1" defaultSubtotal="1">
            <x v="32"/>
          </reference>
          <reference field="6" count="1" selected="0">
            <x v="1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50"/>
          </reference>
          <reference field="1" count="1">
            <x v="33"/>
          </reference>
          <reference field="6" count="1" selected="0">
            <x v="1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50"/>
          </reference>
          <reference field="1" count="1" defaultSubtotal="1">
            <x v="33"/>
          </reference>
          <reference field="6" count="1" selected="0">
            <x v="1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52"/>
          </reference>
          <reference field="1" count="1">
            <x v="17"/>
          </reference>
          <reference field="6" count="1" selected="0">
            <x v="1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52"/>
          </reference>
          <reference field="1" count="1" defaultSubtotal="1">
            <x v="17"/>
          </reference>
          <reference field="6" count="1" selected="0">
            <x v="1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53"/>
          </reference>
          <reference field="1" count="1">
            <x v="35"/>
          </reference>
          <reference field="6" count="1" selected="0">
            <x v="1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53"/>
          </reference>
          <reference field="1" count="1" defaultSubtotal="1">
            <x v="35"/>
          </reference>
          <reference field="6" count="1" selected="0">
            <x v="1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1"/>
          </reference>
          <reference field="1" count="1">
            <x v="5"/>
          </reference>
          <reference field="6" count="1" selected="0">
            <x v="2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1"/>
          </reference>
          <reference field="1" count="1" defaultSubtotal="1">
            <x v="5"/>
          </reference>
          <reference field="6" count="1" selected="0">
            <x v="2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27"/>
          </reference>
          <reference field="1" count="1">
            <x v="2"/>
          </reference>
          <reference field="6" count="1" selected="0">
            <x v="2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27"/>
          </reference>
          <reference field="1" count="1" defaultSubtotal="1">
            <x v="2"/>
          </reference>
          <reference field="6" count="1" selected="0">
            <x v="2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30"/>
          </reference>
          <reference field="1" count="1">
            <x v="12"/>
          </reference>
          <reference field="6" count="1" selected="0">
            <x v="2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30"/>
          </reference>
          <reference field="1" count="1" defaultSubtotal="1">
            <x v="12"/>
          </reference>
          <reference field="6" count="1" selected="0">
            <x v="2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31"/>
          </reference>
          <reference field="1" count="1">
            <x v="26"/>
          </reference>
          <reference field="6" count="1" selected="0">
            <x v="2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31"/>
          </reference>
          <reference field="1" count="1" defaultSubtotal="1">
            <x v="26"/>
          </reference>
          <reference field="6" count="1" selected="0">
            <x v="2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32"/>
          </reference>
          <reference field="1" count="1">
            <x v="19"/>
          </reference>
          <reference field="6" count="1" selected="0">
            <x v="2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32"/>
          </reference>
          <reference field="1" count="1" defaultSubtotal="1">
            <x v="19"/>
          </reference>
          <reference field="6" count="1" selected="0">
            <x v="2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34"/>
          </reference>
          <reference field="1" count="1">
            <x v="1"/>
          </reference>
          <reference field="6" count="1" selected="0">
            <x v="2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34"/>
          </reference>
          <reference field="1" count="1" defaultSubtotal="1">
            <x v="1"/>
          </reference>
          <reference field="6" count="1" selected="0">
            <x v="2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51"/>
          </reference>
          <reference field="1" count="1">
            <x v="9"/>
          </reference>
          <reference field="6" count="1" selected="0">
            <x v="2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51"/>
          </reference>
          <reference field="1" count="1" defaultSubtotal="1">
            <x v="9"/>
          </reference>
          <reference field="6" count="1" selected="0">
            <x v="2"/>
          </reference>
        </references>
      </pivotArea>
    </format>
    <format dxfId="57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7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7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8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81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82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83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84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85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86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87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88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89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90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91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92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93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94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95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96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97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598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59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1" selected="0">
            <x v="0"/>
          </reference>
        </references>
      </pivotArea>
    </format>
    <format dxfId="60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 defaultSubtotal="1">
            <x v="2"/>
          </reference>
          <reference field="6" count="1" selected="0">
            <x v="0"/>
          </reference>
        </references>
      </pivotArea>
    </format>
    <format dxfId="601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602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603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604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605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606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607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608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6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1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1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1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61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61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2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2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62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623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624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625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>
            <x v="0"/>
          </reference>
          <reference field="6" count="1" selected="0">
            <x v="1"/>
          </reference>
        </references>
      </pivotArea>
    </format>
    <format dxfId="62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 defaultSubtotal="1">
            <x v="0"/>
          </reference>
          <reference field="6" count="1" selected="0">
            <x v="1"/>
          </reference>
        </references>
      </pivotArea>
    </format>
    <format dxfId="627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28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29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30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31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632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633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34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35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36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37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38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39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40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41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42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43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44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45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646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647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48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49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50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51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52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53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54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55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56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57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58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59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60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61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62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63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64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65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66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67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68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69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670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6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6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673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674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675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676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677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678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679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680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681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682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683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684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685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86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87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88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89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90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91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92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93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94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95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96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97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698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699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00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01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02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03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04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05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06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07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08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09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10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11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12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13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1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15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716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71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1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1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72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72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72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 defaultSubtotal="1">
            <x v="5"/>
          </reference>
          <reference field="6" count="1" selected="0">
            <x v="1"/>
          </reference>
        </references>
      </pivotArea>
    </format>
    <format dxfId="7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7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7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7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7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>
            <x v="4"/>
          </reference>
          <reference field="6" count="1" selected="0">
            <x v="1"/>
          </reference>
        </references>
      </pivotArea>
    </format>
    <format dxfId="7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 defaultSubtotal="1">
            <x v="4"/>
          </reference>
          <reference field="6" count="1" selected="0">
            <x v="1"/>
          </reference>
        </references>
      </pivotArea>
    </format>
    <format dxfId="72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73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731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32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33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734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735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736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737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38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39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740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741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>
            <x v="8"/>
          </reference>
          <reference field="6" count="1" selected="0">
            <x v="1"/>
          </reference>
        </references>
      </pivotArea>
    </format>
    <format dxfId="742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 defaultSubtotal="1">
            <x v="8"/>
          </reference>
          <reference field="6" count="1" selected="0">
            <x v="1"/>
          </reference>
        </references>
      </pivotArea>
    </format>
    <format dxfId="743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44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45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>
            <x v="1"/>
          </reference>
          <reference field="6" count="1" selected="0">
            <x v="1"/>
          </reference>
        </references>
      </pivotArea>
    </format>
    <format dxfId="74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 defaultSubtotal="1">
            <x v="1"/>
          </reference>
          <reference field="6" count="1" selected="0">
            <x v="1"/>
          </reference>
        </references>
      </pivotArea>
    </format>
    <format dxfId="747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48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49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750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751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752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753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54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55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756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757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758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759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760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761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762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763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764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765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766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767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68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69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>
            <x v="7"/>
          </reference>
          <reference field="6" count="1" selected="0">
            <x v="1"/>
          </reference>
        </references>
      </pivotArea>
    </format>
    <format dxfId="770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 defaultSubtotal="1">
            <x v="7"/>
          </reference>
          <reference field="6" count="1" selected="0">
            <x v="1"/>
          </reference>
        </references>
      </pivotArea>
    </format>
    <format dxfId="771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72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73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774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775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76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77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778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7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81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82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83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84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85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86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87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88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89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90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91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792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793">
      <pivotArea type="all" dataOnly="0" outline="0" fieldPosition="0"/>
    </format>
    <format dxfId="794">
      <pivotArea field="6" type="button" dataOnly="0" labelOnly="1" outline="0" axis="axisRow" fieldPosition="0"/>
    </format>
    <format dxfId="795">
      <pivotArea field="0" type="button" dataOnly="0" labelOnly="1" outline="0" axis="axisRow" fieldPosition="1"/>
    </format>
    <format dxfId="796">
      <pivotArea field="1" type="button" dataOnly="0" labelOnly="1" outline="0" axis="axisRow" fieldPosition="2"/>
    </format>
    <format dxfId="797">
      <pivotArea field="2" type="button" dataOnly="0" labelOnly="1" outline="0" axis="axisRow" fieldPosition="3"/>
    </format>
    <format dxfId="798">
      <pivotArea field="4" type="button" dataOnly="0" labelOnly="1" outline="0" axis="axisRow" fieldPosition="4"/>
    </format>
    <format dxfId="799">
      <pivotArea field="7" type="button" dataOnly="0" labelOnly="1" outline="0" axis="axisRow" fieldPosition="5"/>
    </format>
    <format dxfId="800">
      <pivotArea dataOnly="0" labelOnly="1" outline="0" fieldPosition="0">
        <references count="1">
          <reference field="6" count="0"/>
        </references>
      </pivotArea>
    </format>
    <format dxfId="80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802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803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804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80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806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807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808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809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810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811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812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813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814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81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816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817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81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81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820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821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  <format dxfId="822">
      <pivotArea type="all" dataOnly="0" outline="0" fieldPosition="0"/>
    </format>
    <format dxfId="823">
      <pivotArea field="6" type="button" dataOnly="0" labelOnly="1" outline="0" axis="axisRow" fieldPosition="0"/>
    </format>
    <format dxfId="824">
      <pivotArea field="0" type="button" dataOnly="0" labelOnly="1" outline="0" axis="axisRow" fieldPosition="1"/>
    </format>
    <format dxfId="825">
      <pivotArea field="1" type="button" dataOnly="0" labelOnly="1" outline="0" axis="axisRow" fieldPosition="2"/>
    </format>
    <format dxfId="826">
      <pivotArea field="2" type="button" dataOnly="0" labelOnly="1" outline="0" axis="axisRow" fieldPosition="3"/>
    </format>
    <format dxfId="827">
      <pivotArea field="4" type="button" dataOnly="0" labelOnly="1" outline="0" axis="axisRow" fieldPosition="4"/>
    </format>
    <format dxfId="828">
      <pivotArea field="7" type="button" dataOnly="0" labelOnly="1" outline="0" axis="axisRow" fieldPosition="5"/>
    </format>
    <format dxfId="829">
      <pivotArea dataOnly="0" labelOnly="1" outline="0" fieldPosition="0">
        <references count="1">
          <reference field="6" count="0"/>
        </references>
      </pivotArea>
    </format>
    <format dxfId="830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831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832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83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834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835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836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837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838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839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840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841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842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84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844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845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846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84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84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849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850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</formats>
  <pivotTableStyleInfo name="PivotStyleDark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63E4B-ED87-4FE6-AE22-214E9E422A82}" name="Tabela Dinâmica1" cacheId="275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B2:G18" firstHeaderRow="1" firstDataRow="1" firstDataCol="6"/>
  <pivotFields count="9">
    <pivotField axis="axisRow" compact="0" outline="0" showAll="0" defaultSubtotal="0">
      <items count="54">
        <item x="39"/>
        <item x="52"/>
        <item x="18"/>
        <item x="29"/>
        <item x="16"/>
        <item x="34"/>
        <item x="17"/>
        <item x="33"/>
        <item x="7"/>
        <item x="11"/>
        <item x="13"/>
        <item x="44"/>
        <item x="0"/>
        <item x="5"/>
        <item x="12"/>
        <item x="22"/>
        <item x="9"/>
        <item x="6"/>
        <item x="19"/>
        <item x="4"/>
        <item x="42"/>
        <item x="8"/>
        <item x="21"/>
        <item x="2"/>
        <item x="15"/>
        <item x="20"/>
        <item x="46"/>
        <item x="51"/>
        <item x="28"/>
        <item x="14"/>
        <item x="49"/>
        <item x="48"/>
        <item x="47"/>
        <item x="3"/>
        <item x="50"/>
        <item x="41"/>
        <item x="35"/>
        <item x="36"/>
        <item x="43"/>
        <item x="23"/>
        <item x="10"/>
        <item x="31"/>
        <item x="32"/>
        <item x="1"/>
        <item x="27"/>
        <item x="25"/>
        <item x="26"/>
        <item x="37"/>
        <item x="30"/>
        <item x="45"/>
        <item x="24"/>
        <item x="53"/>
        <item x="38"/>
        <item x="40"/>
      </items>
    </pivotField>
    <pivotField axis="axisRow" compact="0" outline="0" showAll="0" defaultSubtotal="0">
      <items count="54">
        <item x="35"/>
        <item x="50"/>
        <item x="51"/>
        <item x="41"/>
        <item x="29"/>
        <item x="52"/>
        <item x="36"/>
        <item x="34"/>
        <item x="17"/>
        <item x="53"/>
        <item x="32"/>
        <item x="19"/>
        <item x="49"/>
        <item x="20"/>
        <item x="46"/>
        <item x="28"/>
        <item x="44"/>
        <item x="38"/>
        <item x="33"/>
        <item x="47"/>
        <item x="22"/>
        <item x="39"/>
        <item x="31"/>
        <item x="27"/>
        <item x="23"/>
        <item x="16"/>
        <item x="48"/>
        <item x="18"/>
        <item x="43"/>
        <item x="21"/>
        <item x="26"/>
        <item x="30"/>
        <item x="45"/>
        <item x="24"/>
        <item x="37"/>
        <item x="40"/>
        <item x="25"/>
        <item x="11"/>
        <item x="7"/>
        <item x="5"/>
        <item x="4"/>
        <item x="42"/>
        <item x="0"/>
        <item x="8"/>
        <item x="6"/>
        <item x="10"/>
        <item x="13"/>
        <item x="2"/>
        <item x="3"/>
        <item x="15"/>
        <item x="1"/>
        <item x="9"/>
        <item x="12"/>
        <item x="14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11">
        <item x="5"/>
        <item x="6"/>
        <item x="4"/>
        <item x="10"/>
        <item x="2"/>
        <item x="7"/>
        <item x="1"/>
        <item x="8"/>
        <item x="3"/>
        <item x="9"/>
        <item x="0"/>
      </items>
    </pivotField>
    <pivotField compact="0" outline="0" showAll="0" defaultSubtotal="0"/>
    <pivotField axis="axisRow" compact="0" outline="0" showAll="0" defaultSubtotal="0">
      <items count="3">
        <item x="0"/>
        <item h="1" x="1"/>
        <item h="1" x="2"/>
      </items>
    </pivotField>
    <pivotField axis="axisRow" compact="0" outline="0" showAll="0" defaultSubtotal="0">
      <items count="5">
        <item x="4"/>
        <item x="3"/>
        <item x="2"/>
        <item x="1"/>
        <item x="0"/>
      </items>
    </pivotField>
    <pivotField compact="0" outline="0" showAll="0" defaultSubtotal="0"/>
  </pivotFields>
  <rowFields count="6">
    <field x="6"/>
    <field x="0"/>
    <field x="1"/>
    <field x="2"/>
    <field x="4"/>
    <field x="7"/>
  </rowFields>
  <rowItems count="16">
    <i>
      <x/>
      <x v="8"/>
      <x v="38"/>
      <x v="1"/>
      <x v="10"/>
      <x v="4"/>
    </i>
    <i r="1">
      <x v="9"/>
      <x v="37"/>
      <x v="1"/>
      <x v="10"/>
      <x v="4"/>
    </i>
    <i r="1">
      <x v="10"/>
      <x v="46"/>
      <x v="1"/>
      <x v="10"/>
      <x v="4"/>
    </i>
    <i r="1">
      <x v="12"/>
      <x v="42"/>
      <x v="1"/>
      <x v="10"/>
      <x v="4"/>
    </i>
    <i r="1">
      <x v="13"/>
      <x v="39"/>
      <x v="1"/>
      <x v="10"/>
      <x v="4"/>
    </i>
    <i r="1">
      <x v="14"/>
      <x v="52"/>
      <x v="1"/>
      <x v="10"/>
      <x v="3"/>
    </i>
    <i r="1">
      <x v="16"/>
      <x v="51"/>
      <x v="1"/>
      <x v="10"/>
      <x v="3"/>
    </i>
    <i r="1">
      <x v="17"/>
      <x v="44"/>
      <x v="1"/>
      <x v="10"/>
      <x v="2"/>
    </i>
    <i r="1">
      <x v="19"/>
      <x v="40"/>
      <x v="1"/>
      <x v="10"/>
      <x v="4"/>
    </i>
    <i r="1">
      <x v="21"/>
      <x v="43"/>
      <x v="1"/>
      <x v="10"/>
      <x v="2"/>
    </i>
    <i r="1">
      <x v="23"/>
      <x v="47"/>
      <x v="1"/>
      <x v="10"/>
      <x v="3"/>
    </i>
    <i r="1">
      <x v="24"/>
      <x v="49"/>
      <x v="2"/>
      <x v="10"/>
      <x v="3"/>
    </i>
    <i r="1">
      <x v="29"/>
      <x v="53"/>
      <x v="1"/>
      <x v="10"/>
      <x v="4"/>
    </i>
    <i r="1">
      <x v="33"/>
      <x v="48"/>
      <x v="1"/>
      <x v="10"/>
      <x v="2"/>
    </i>
    <i r="1">
      <x v="40"/>
      <x v="45"/>
      <x v="1"/>
      <x v="10"/>
      <x v="4"/>
    </i>
    <i r="1">
      <x v="43"/>
      <x v="50"/>
      <x v="1"/>
      <x v="10"/>
      <x v="3"/>
    </i>
  </rowItems>
  <colItems count="1">
    <i/>
  </colItems>
  <formats count="400">
    <format dxfId="51">
      <pivotArea type="all" dataOnly="0" outline="0" fieldPosition="0"/>
    </format>
    <format dxfId="52">
      <pivotArea field="6" type="button" dataOnly="0" labelOnly="1" outline="0" axis="axisRow" fieldPosition="0"/>
    </format>
    <format dxfId="53">
      <pivotArea field="0" type="button" dataOnly="0" labelOnly="1" outline="0" axis="axisRow" fieldPosition="1"/>
    </format>
    <format dxfId="54">
      <pivotArea field="1" type="button" dataOnly="0" labelOnly="1" outline="0" axis="axisRow" fieldPosition="2"/>
    </format>
    <format dxfId="55">
      <pivotArea field="2" type="button" dataOnly="0" labelOnly="1" outline="0" axis="axisRow" fieldPosition="3"/>
    </format>
    <format dxfId="56">
      <pivotArea field="4" type="button" dataOnly="0" labelOnly="1" outline="0" axis="axisRow" fieldPosition="4"/>
    </format>
    <format dxfId="57">
      <pivotArea field="7" type="button" dataOnly="0" labelOnly="1" outline="0" axis="axisRow" fieldPosition="5"/>
    </format>
    <format dxfId="58">
      <pivotArea dataOnly="0" labelOnly="1" outline="0" fieldPosition="0">
        <references count="1">
          <reference field="6" count="0"/>
        </references>
      </pivotArea>
    </format>
    <format dxfId="59">
      <pivotArea dataOnly="0" labelOnly="1" outline="0" fieldPosition="0">
        <references count="1">
          <reference field="6" count="0" defaultSubtotal="1"/>
        </references>
      </pivotArea>
    </format>
    <format dxfId="60">
      <pivotArea dataOnly="0" labelOnly="1" grandRow="1" outline="0" fieldPosition="0"/>
    </format>
    <format dxfId="6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0" count="16" defaultSubtotal="1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1" selected="0">
            <x v="0"/>
          </reference>
        </references>
      </pivotArea>
    </format>
    <format dxfId="63">
      <pivotArea dataOnly="0" labelOnly="1" outline="0" fieldPosition="0">
        <references count="2">
          <reference field="0" count="25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0" count="25" defaultSubtotal="1">
            <x v="0"/>
            <x v="2"/>
            <x v="3"/>
            <x v="4"/>
            <x v="5"/>
            <x v="6"/>
            <x v="7"/>
            <x v="11"/>
            <x v="15"/>
            <x v="18"/>
            <x v="20"/>
            <x v="22"/>
            <x v="25"/>
            <x v="26"/>
            <x v="28"/>
            <x v="35"/>
            <x v="36"/>
            <x v="37"/>
            <x v="38"/>
            <x v="39"/>
            <x v="41"/>
            <x v="42"/>
            <x v="44"/>
            <x v="45"/>
            <x v="46"/>
          </reference>
          <reference field="6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0" count="6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0" count="6" defaultSubtotal="1">
            <x v="47"/>
            <x v="48"/>
            <x v="49"/>
            <x v="50"/>
            <x v="52"/>
            <x v="53"/>
          </reference>
          <reference field="6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0" count="7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68">
      <pivotArea dataOnly="0" labelOnly="1" outline="0" fieldPosition="0">
        <references count="2">
          <reference field="0" count="7" defaultSubtotal="1">
            <x v="1"/>
            <x v="27"/>
            <x v="30"/>
            <x v="31"/>
            <x v="32"/>
            <x v="34"/>
            <x v="51"/>
          </reference>
          <reference field="6" count="1" selected="0">
            <x v="2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1" selected="0">
            <x v="0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8"/>
          </reference>
          <reference field="1" count="1" defaultSubtotal="1">
            <x v="38"/>
          </reference>
          <reference field="6" count="1" selected="0">
            <x v="0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1" selected="0">
            <x v="0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9"/>
          </reference>
          <reference field="1" count="1" defaultSubtotal="1">
            <x v="37"/>
          </reference>
          <reference field="6" count="1" selected="0">
            <x v="0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10"/>
          </reference>
          <reference field="1" count="1" defaultSubtotal="1">
            <x v="46"/>
          </reference>
          <reference field="6" count="1" selected="0">
            <x v="0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1" selected="0">
            <x v="0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12"/>
          </reference>
          <reference field="1" count="1" defaultSubtotal="1">
            <x v="42"/>
          </reference>
          <reference field="6" count="1" selected="0">
            <x v="0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1" selected="0">
            <x v="0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13"/>
          </reference>
          <reference field="1" count="1" defaultSubtotal="1">
            <x v="39"/>
          </reference>
          <reference field="6" count="1" selected="0">
            <x v="0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1" selected="0">
            <x v="0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14"/>
          </reference>
          <reference field="1" count="1" defaultSubtotal="1">
            <x v="52"/>
          </reference>
          <reference field="6" count="1" selected="0">
            <x v="0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1" selected="0">
            <x v="0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16"/>
          </reference>
          <reference field="1" count="1" defaultSubtotal="1">
            <x v="51"/>
          </reference>
          <reference field="6" count="1" selected="0">
            <x v="0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1" selected="0">
            <x v="0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17"/>
          </reference>
          <reference field="1" count="1" defaultSubtotal="1">
            <x v="44"/>
          </reference>
          <reference field="6" count="1" selected="0">
            <x v="0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1" selected="0">
            <x v="0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19"/>
          </reference>
          <reference field="1" count="1" defaultSubtotal="1">
            <x v="40"/>
          </reference>
          <reference field="6" count="1" selected="0">
            <x v="0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1" selected="0">
            <x v="0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21"/>
          </reference>
          <reference field="1" count="1" defaultSubtotal="1">
            <x v="43"/>
          </reference>
          <reference field="6" count="1" selected="0">
            <x v="0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1" selected="0">
            <x v="0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23"/>
          </reference>
          <reference field="1" count="1" defaultSubtotal="1">
            <x v="47"/>
          </reference>
          <reference field="6" count="1" selected="0">
            <x v="0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1" selected="0">
            <x v="0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24"/>
          </reference>
          <reference field="1" count="1" defaultSubtotal="1">
            <x v="49"/>
          </reference>
          <reference field="6" count="1" selected="0">
            <x v="0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29"/>
          </reference>
          <reference field="1" count="1" defaultSubtotal="1">
            <x v="53"/>
          </reference>
          <reference field="6" count="1" selected="0">
            <x v="0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1" selected="0">
            <x v="0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33"/>
          </reference>
          <reference field="1" count="1" defaultSubtotal="1">
            <x v="48"/>
          </reference>
          <reference field="6" count="1" selected="0">
            <x v="0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1" selected="0">
            <x v="0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40"/>
          </reference>
          <reference field="1" count="1" defaultSubtotal="1">
            <x v="45"/>
          </reference>
          <reference field="6" count="1" selected="0">
            <x v="0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1" selected="0">
            <x v="0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43"/>
          </reference>
          <reference field="1" count="1" defaultSubtotal="1">
            <x v="50"/>
          </reference>
          <reference field="6" count="1" selected="0">
            <x v="0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0"/>
          </reference>
          <reference field="1" count="1">
            <x v="21"/>
          </reference>
          <reference field="6" count="1" selected="0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0"/>
          </reference>
          <reference field="1" count="1" defaultSubtotal="1">
            <x v="21"/>
          </reference>
          <reference field="6" count="1" selected="0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2"/>
          </reference>
          <reference field="1" count="1">
            <x v="27"/>
          </reference>
          <reference field="6" count="1" selected="0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2"/>
          </reference>
          <reference field="1" count="1" defaultSubtotal="1">
            <x v="27"/>
          </reference>
          <reference field="6" count="1" selected="0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>
            <x v="4"/>
          </reference>
          <reference field="6" count="1" selected="0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defaultSubtotal="1">
            <x v="4"/>
          </reference>
          <reference field="6" count="1" selected="0">
            <x v="1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4"/>
          </reference>
          <reference field="1" count="1">
            <x v="25"/>
          </reference>
          <reference field="6" count="1" selected="0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4"/>
          </reference>
          <reference field="1" count="1" defaultSubtotal="1">
            <x v="25"/>
          </reference>
          <reference field="6" count="1" selected="0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5"/>
          </reference>
          <reference field="1" count="1">
            <x v="7"/>
          </reference>
          <reference field="6" count="1" selected="0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5"/>
          </reference>
          <reference field="1" count="1" defaultSubtotal="1">
            <x v="7"/>
          </reference>
          <reference field="6" count="1" selected="0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6"/>
          </reference>
          <reference field="1" count="1">
            <x v="8"/>
          </reference>
          <reference field="6" count="1" selected="0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6"/>
          </reference>
          <reference field="1" count="1" defaultSubtotal="1">
            <x v="8"/>
          </reference>
          <reference field="6" count="1" selected="0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7"/>
          </reference>
          <reference field="1" count="1">
            <x v="18"/>
          </reference>
          <reference field="6" count="1" selected="0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7"/>
          </reference>
          <reference field="1" count="1" defaultSubtotal="1">
            <x v="18"/>
          </reference>
          <reference field="6" count="1" selected="0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11"/>
          </reference>
          <reference field="1" count="1">
            <x v="16"/>
          </reference>
          <reference field="6" count="1" selected="0">
            <x v="1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11"/>
          </reference>
          <reference field="1" count="1" defaultSubtotal="1">
            <x v="16"/>
          </reference>
          <reference field="6" count="1" selected="0">
            <x v="1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15"/>
          </reference>
          <reference field="1" count="1">
            <x v="20"/>
          </reference>
          <reference field="6" count="1" selected="0">
            <x v="1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15"/>
          </reference>
          <reference field="1" count="1" defaultSubtotal="1">
            <x v="20"/>
          </reference>
          <reference field="6" count="1" selected="0">
            <x v="1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18"/>
          </reference>
          <reference field="1" count="1">
            <x v="11"/>
          </reference>
          <reference field="6" count="1" selected="0">
            <x v="1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18"/>
          </reference>
          <reference field="1" count="1" defaultSubtotal="1">
            <x v="11"/>
          </reference>
          <reference field="6" count="1" selected="0">
            <x v="1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20"/>
          </reference>
          <reference field="1" count="1">
            <x v="41"/>
          </reference>
          <reference field="6" count="1" selected="0">
            <x v="1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20"/>
          </reference>
          <reference field="1" count="1" defaultSubtotal="1">
            <x v="41"/>
          </reference>
          <reference field="6" count="1" selected="0">
            <x v="1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22"/>
          </reference>
          <reference field="1" count="1">
            <x v="29"/>
          </reference>
          <reference field="6" count="1" selected="0">
            <x v="1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22"/>
          </reference>
          <reference field="1" count="1" defaultSubtotal="1">
            <x v="29"/>
          </reference>
          <reference field="6" count="1" selected="0">
            <x v="1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25"/>
          </reference>
          <reference field="1" count="1">
            <x v="13"/>
          </reference>
          <reference field="6" count="1" selected="0">
            <x v="1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25"/>
          </reference>
          <reference field="1" count="1" defaultSubtotal="1">
            <x v="13"/>
          </reference>
          <reference field="6" count="1" selected="0">
            <x v="1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26"/>
          </reference>
          <reference field="1" count="1">
            <x v="14"/>
          </reference>
          <reference field="6" count="1" selected="0">
            <x v="1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26"/>
          </reference>
          <reference field="1" count="1" defaultSubtotal="1">
            <x v="14"/>
          </reference>
          <reference field="6" count="1" selected="0">
            <x v="1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28"/>
          </reference>
          <reference field="1" count="1">
            <x v="15"/>
          </reference>
          <reference field="6" count="1" selected="0">
            <x v="1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28"/>
          </reference>
          <reference field="1" count="1" defaultSubtotal="1">
            <x v="15"/>
          </reference>
          <reference field="6" count="1" selected="0">
            <x v="1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35"/>
          </reference>
          <reference field="1" count="1">
            <x v="3"/>
          </reference>
          <reference field="6" count="1" selected="0">
            <x v="1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35"/>
          </reference>
          <reference field="1" count="1" defaultSubtotal="1">
            <x v="3"/>
          </reference>
          <reference field="6" count="1" selected="0">
            <x v="1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36"/>
          </reference>
          <reference field="1" count="1">
            <x v="0"/>
          </reference>
          <reference field="6" count="1" selected="0">
            <x v="1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36"/>
          </reference>
          <reference field="1" count="1" defaultSubtotal="1">
            <x v="0"/>
          </reference>
          <reference field="6" count="1" selected="0">
            <x v="1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37"/>
          </reference>
          <reference field="1" count="1">
            <x v="6"/>
          </reference>
          <reference field="6" count="1" selected="0">
            <x v="1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37"/>
          </reference>
          <reference field="1" count="1" defaultSubtotal="1">
            <x v="6"/>
          </reference>
          <reference field="6" count="1" selected="0">
            <x v="1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38"/>
          </reference>
          <reference field="1" count="1">
            <x v="28"/>
          </reference>
          <reference field="6" count="1" selected="0">
            <x v="1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38"/>
          </reference>
          <reference field="1" count="1" defaultSubtotal="1">
            <x v="28"/>
          </reference>
          <reference field="6" count="1" selected="0">
            <x v="1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39"/>
          </reference>
          <reference field="1" count="1">
            <x v="24"/>
          </reference>
          <reference field="6" count="1" selected="0">
            <x v="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39"/>
          </reference>
          <reference field="1" count="1" defaultSubtotal="1">
            <x v="24"/>
          </reference>
          <reference field="6" count="1" selected="0">
            <x v="1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41"/>
          </reference>
          <reference field="1" count="1">
            <x v="22"/>
          </reference>
          <reference field="6" count="1" selected="0">
            <x v="1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41"/>
          </reference>
          <reference field="1" count="1" defaultSubtotal="1">
            <x v="22"/>
          </reference>
          <reference field="6" count="1" selected="0">
            <x v="1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42"/>
          </reference>
          <reference field="1" count="1">
            <x v="10"/>
          </reference>
          <reference field="6" count="1" selected="0">
            <x v="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2"/>
          </reference>
          <reference field="1" count="1" defaultSubtotal="1">
            <x v="10"/>
          </reference>
          <reference field="6" count="1" selected="0">
            <x v="1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44"/>
          </reference>
          <reference field="1" count="1">
            <x v="23"/>
          </reference>
          <reference field="6" count="1" selected="0">
            <x v="1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44"/>
          </reference>
          <reference field="1" count="1" defaultSubtotal="1">
            <x v="23"/>
          </reference>
          <reference field="6" count="1" selected="0">
            <x v="1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45"/>
          </reference>
          <reference field="1" count="1">
            <x v="36"/>
          </reference>
          <reference field="6" count="1" selected="0">
            <x v="1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45"/>
          </reference>
          <reference field="1" count="1" defaultSubtotal="1">
            <x v="36"/>
          </reference>
          <reference field="6" count="1" selected="0">
            <x v="1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46"/>
          </reference>
          <reference field="1" count="1">
            <x v="30"/>
          </reference>
          <reference field="6" count="1" selected="0">
            <x v="1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6"/>
          </reference>
          <reference field="1" count="1" defaultSubtotal="1">
            <x v="30"/>
          </reference>
          <reference field="6" count="1" selected="0">
            <x v="1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47"/>
          </reference>
          <reference field="1" count="1">
            <x v="34"/>
          </reference>
          <reference field="6" count="1" selected="0">
            <x v="1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47"/>
          </reference>
          <reference field="1" count="1" defaultSubtotal="1">
            <x v="34"/>
          </reference>
          <reference field="6" count="1" selected="0">
            <x v="1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48"/>
          </reference>
          <reference field="1" count="1">
            <x v="31"/>
          </reference>
          <reference field="6" count="1" selected="0">
            <x v="1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48"/>
          </reference>
          <reference field="1" count="1" defaultSubtotal="1">
            <x v="31"/>
          </reference>
          <reference field="6" count="1" selected="0">
            <x v="1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49"/>
          </reference>
          <reference field="1" count="1">
            <x v="32"/>
          </reference>
          <reference field="6" count="1" selected="0">
            <x v="1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49"/>
          </reference>
          <reference field="1" count="1" defaultSubtotal="1">
            <x v="32"/>
          </reference>
          <reference field="6" count="1" selected="0">
            <x v="1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50"/>
          </reference>
          <reference field="1" count="1">
            <x v="33"/>
          </reference>
          <reference field="6" count="1" selected="0">
            <x v="1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50"/>
          </reference>
          <reference field="1" count="1" defaultSubtotal="1">
            <x v="33"/>
          </reference>
          <reference field="6" count="1" selected="0">
            <x v="1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52"/>
          </reference>
          <reference field="1" count="1">
            <x v="17"/>
          </reference>
          <reference field="6" count="1" selected="0">
            <x v="1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52"/>
          </reference>
          <reference field="1" count="1" defaultSubtotal="1">
            <x v="17"/>
          </reference>
          <reference field="6" count="1" selected="0">
            <x v="1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53"/>
          </reference>
          <reference field="1" count="1">
            <x v="35"/>
          </reference>
          <reference field="6" count="1" selected="0">
            <x v="1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53"/>
          </reference>
          <reference field="1" count="1" defaultSubtotal="1">
            <x v="35"/>
          </reference>
          <reference field="6" count="1" selected="0">
            <x v="1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1"/>
          </reference>
          <reference field="1" count="1">
            <x v="5"/>
          </reference>
          <reference field="6" count="1" selected="0">
            <x v="2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1"/>
          </reference>
          <reference field="1" count="1" defaultSubtotal="1">
            <x v="5"/>
          </reference>
          <reference field="6" count="1" selected="0">
            <x v="2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27"/>
          </reference>
          <reference field="1" count="1">
            <x v="2"/>
          </reference>
          <reference field="6" count="1" selected="0">
            <x v="2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27"/>
          </reference>
          <reference field="1" count="1" defaultSubtotal="1">
            <x v="2"/>
          </reference>
          <reference field="6" count="1" selected="0">
            <x v="2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30"/>
          </reference>
          <reference field="1" count="1">
            <x v="12"/>
          </reference>
          <reference field="6" count="1" selected="0">
            <x v="2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30"/>
          </reference>
          <reference field="1" count="1" defaultSubtotal="1">
            <x v="12"/>
          </reference>
          <reference field="6" count="1" selected="0">
            <x v="2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31"/>
          </reference>
          <reference field="1" count="1">
            <x v="26"/>
          </reference>
          <reference field="6" count="1" selected="0">
            <x v="2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31"/>
          </reference>
          <reference field="1" count="1" defaultSubtotal="1">
            <x v="26"/>
          </reference>
          <reference field="6" count="1" selected="0">
            <x v="2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32"/>
          </reference>
          <reference field="1" count="1">
            <x v="19"/>
          </reference>
          <reference field="6" count="1" selected="0">
            <x v="2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32"/>
          </reference>
          <reference field="1" count="1" defaultSubtotal="1">
            <x v="19"/>
          </reference>
          <reference field="6" count="1" selected="0">
            <x v="2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34"/>
          </reference>
          <reference field="1" count="1">
            <x v="1"/>
          </reference>
          <reference field="6" count="1" selected="0">
            <x v="2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34"/>
          </reference>
          <reference field="1" count="1" defaultSubtotal="1">
            <x v="1"/>
          </reference>
          <reference field="6" count="1" selected="0">
            <x v="2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51"/>
          </reference>
          <reference field="1" count="1">
            <x v="9"/>
          </reference>
          <reference field="6" count="1" selected="0">
            <x v="2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51"/>
          </reference>
          <reference field="1" count="1" defaultSubtotal="1">
            <x v="9"/>
          </reference>
          <reference field="6" count="1" selected="0">
            <x v="2"/>
          </reference>
        </references>
      </pivotArea>
    </format>
    <format dxfId="17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7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79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80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3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81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82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46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83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84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4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85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86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39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87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88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52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89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90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1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91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92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4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93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94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4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95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96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4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97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198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7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19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1" selected="0">
            <x v="0"/>
          </reference>
        </references>
      </pivotArea>
    </format>
    <format dxfId="20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 defaultSubtotal="1">
            <x v="2"/>
          </reference>
          <reference field="6" count="1" selected="0">
            <x v="0"/>
          </reference>
        </references>
      </pivotArea>
    </format>
    <format dxfId="201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202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203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204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48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205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206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5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207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>
            <x v="1"/>
          </reference>
          <reference field="6" count="1" selected="0">
            <x v="0"/>
          </reference>
        </references>
      </pivotArea>
    </format>
    <format dxfId="208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50"/>
          </reference>
          <reference field="2" count="1" defaultSubtotal="1">
            <x v="1"/>
          </reference>
          <reference field="6" count="1" selected="0">
            <x v="0"/>
          </reference>
        </references>
      </pivotArea>
    </format>
    <format dxfId="2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1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1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1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21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7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21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2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2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222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1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223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224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6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225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>
            <x v="0"/>
          </reference>
          <reference field="6" count="1" selected="0">
            <x v="1"/>
          </reference>
        </references>
      </pivotArea>
    </format>
    <format dxfId="22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20"/>
          </reference>
          <reference field="2" count="1" defaultSubtotal="1">
            <x v="0"/>
          </reference>
          <reference field="6" count="1" selected="0">
            <x v="1"/>
          </reference>
        </references>
      </pivotArea>
    </format>
    <format dxfId="227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28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29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30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4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31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232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9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233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34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35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36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1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37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38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39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40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41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42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43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44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45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>
            <x v="2"/>
          </reference>
          <reference field="6" count="1" selected="0">
            <x v="1"/>
          </reference>
        </references>
      </pivotArea>
    </format>
    <format dxfId="246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28"/>
          </reference>
          <reference field="2" count="1" defaultSubtotal="1">
            <x v="2"/>
          </reference>
          <reference field="6" count="1" selected="0">
            <x v="1"/>
          </reference>
        </references>
      </pivotArea>
    </format>
    <format dxfId="247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48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2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49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50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2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51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52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53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54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55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56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36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57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58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30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59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60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34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61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62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31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63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64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65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66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33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67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68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7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69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>
            <x v="1"/>
          </reference>
          <reference field="6" count="1" selected="0">
            <x v="1"/>
          </reference>
        </references>
      </pivotArea>
    </format>
    <format dxfId="270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5"/>
          </reference>
          <reference field="2" count="1" defaultSubtotal="1">
            <x v="1"/>
          </reference>
          <reference field="6" count="1" selected="0">
            <x v="1"/>
          </reference>
        </references>
      </pivotArea>
    </format>
    <format dxfId="2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2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273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>
            <x v="2"/>
          </reference>
          <reference field="6" count="1" selected="0">
            <x v="2"/>
          </reference>
        </references>
      </pivotArea>
    </format>
    <format dxfId="274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2"/>
          </reference>
          <reference field="2" count="1" defaultSubtotal="1">
            <x v="2"/>
          </reference>
          <reference field="6" count="1" selected="0">
            <x v="2"/>
          </reference>
        </references>
      </pivotArea>
    </format>
    <format dxfId="275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276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12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277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278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26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279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280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281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282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283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>
            <x v="1"/>
          </reference>
          <reference field="6" count="1" selected="0">
            <x v="2"/>
          </reference>
        </references>
      </pivotArea>
    </format>
    <format dxfId="284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9"/>
          </reference>
          <reference field="2" count="1" defaultSubtotal="1">
            <x v="1"/>
          </reference>
          <reference field="6" count="1" selected="0">
            <x v="2"/>
          </reference>
        </references>
      </pivotArea>
    </format>
    <format dxfId="285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86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87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88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3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89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90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4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91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92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4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93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94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3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95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96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5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97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298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299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00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4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01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02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4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03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04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4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05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06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07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08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9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09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10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5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11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12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48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13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1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15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16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50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0"/>
          </reference>
        </references>
      </pivotArea>
    </format>
    <format dxfId="31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1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1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320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7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32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322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"/>
          </reference>
          <reference field="2" count="1" selected="0">
            <x v="1"/>
          </reference>
          <reference field="4" count="1" defaultSubtotal="1">
            <x v="5"/>
          </reference>
          <reference field="6" count="1" selected="0">
            <x v="1"/>
          </reference>
        </references>
      </pivotArea>
    </format>
    <format dxfId="3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3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5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325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326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 selected="0">
            <x v="2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32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>
            <x v="4"/>
          </reference>
          <reference field="6" count="1" selected="0">
            <x v="1"/>
          </reference>
        </references>
      </pivotArea>
    </format>
    <format dxfId="32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8"/>
          </reference>
          <reference field="2" count="1" selected="0">
            <x v="1"/>
          </reference>
          <reference field="4" count="1" defaultSubtotal="1">
            <x v="4"/>
          </reference>
          <reference field="6" count="1" selected="0">
            <x v="1"/>
          </reference>
        </references>
      </pivotArea>
    </format>
    <format dxfId="32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33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18"/>
          </reference>
          <reference field="2" count="1" selected="0">
            <x v="2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331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32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6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33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334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20"/>
          </reference>
          <reference field="2" count="1" selected="0">
            <x v="0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335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336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1"/>
          </reference>
          <reference field="2" count="1" selected="0">
            <x v="1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337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38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39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340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9"/>
          </reference>
          <reference field="2" count="1" selected="0">
            <x v="2"/>
          </reference>
          <reference field="4" count="1" defaultSubtotal="1">
            <x v="6"/>
          </reference>
          <reference field="6" count="1" selected="0">
            <x v="1"/>
          </reference>
        </references>
      </pivotArea>
    </format>
    <format dxfId="341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>
            <x v="8"/>
          </reference>
          <reference field="6" count="1" selected="0">
            <x v="1"/>
          </reference>
        </references>
      </pivotArea>
    </format>
    <format dxfId="342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3"/>
          </reference>
          <reference field="2" count="1" selected="0">
            <x v="1"/>
          </reference>
          <reference field="4" count="1" defaultSubtotal="1">
            <x v="8"/>
          </reference>
          <reference field="6" count="1" selected="0">
            <x v="1"/>
          </reference>
        </references>
      </pivotArea>
    </format>
    <format dxfId="343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44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1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45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>
            <x v="1"/>
          </reference>
          <reference field="6" count="1" selected="0">
            <x v="1"/>
          </reference>
        </references>
      </pivotArea>
    </format>
    <format dxfId="34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5"/>
          </reference>
          <reference field="2" count="1" selected="0">
            <x v="1"/>
          </reference>
          <reference field="4" count="1" defaultSubtotal="1">
            <x v="1"/>
          </reference>
          <reference field="6" count="1" selected="0">
            <x v="1"/>
          </reference>
        </references>
      </pivotArea>
    </format>
    <format dxfId="347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48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3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49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350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351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352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6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353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54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8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55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356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4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357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>
            <x v="9"/>
          </reference>
          <reference field="6" count="1" selected="0">
            <x v="1"/>
          </reference>
        </references>
      </pivotArea>
    </format>
    <format dxfId="358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2"/>
          </reference>
          <reference field="2" count="1" selected="0">
            <x v="1"/>
          </reference>
          <reference field="4" count="1" defaultSubtotal="1">
            <x v="9"/>
          </reference>
          <reference field="6" count="1" selected="0">
            <x v="1"/>
          </reference>
        </references>
      </pivotArea>
    </format>
    <format dxfId="359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360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2" count="1" selected="0">
            <x v="1"/>
          </reference>
          <reference field="4" count="1" defaultSubtotal="1">
            <x v="3"/>
          </reference>
          <reference field="6" count="1" selected="0">
            <x v="1"/>
          </reference>
        </references>
      </pivotArea>
    </format>
    <format dxfId="361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362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363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364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36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365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>
            <x v="0"/>
          </reference>
          <reference field="6" count="1" selected="0">
            <x v="1"/>
          </reference>
        </references>
      </pivotArea>
    </format>
    <format dxfId="366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30"/>
          </reference>
          <reference field="2" count="1" selected="0">
            <x v="1"/>
          </reference>
          <reference field="4" count="1" defaultSubtotal="1">
            <x v="0"/>
          </reference>
          <reference field="6" count="1" selected="0">
            <x v="1"/>
          </reference>
        </references>
      </pivotArea>
    </format>
    <format dxfId="367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68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34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69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>
            <x v="7"/>
          </reference>
          <reference field="6" count="1" selected="0">
            <x v="1"/>
          </reference>
        </references>
      </pivotArea>
    </format>
    <format dxfId="370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31"/>
          </reference>
          <reference field="2" count="1" selected="0">
            <x v="1"/>
          </reference>
          <reference field="4" count="1" defaultSubtotal="1">
            <x v="7"/>
          </reference>
          <reference field="6" count="1" selected="0">
            <x v="1"/>
          </reference>
        </references>
      </pivotArea>
    </format>
    <format dxfId="371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72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3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73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>
            <x v="2"/>
          </reference>
          <reference field="6" count="1" selected="0">
            <x v="1"/>
          </reference>
        </references>
      </pivotArea>
    </format>
    <format dxfId="374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33"/>
          </reference>
          <reference field="2" count="1" selected="0">
            <x v="1"/>
          </reference>
          <reference field="4" count="1" defaultSubtotal="1">
            <x v="2"/>
          </reference>
          <reference field="6" count="1" selected="0">
            <x v="1"/>
          </reference>
        </references>
      </pivotArea>
    </format>
    <format dxfId="375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76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7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77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1"/>
          </reference>
        </references>
      </pivotArea>
    </format>
    <format dxfId="378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35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1"/>
          </reference>
        </references>
      </pivotArea>
    </format>
    <format dxfId="379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8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81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82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 selected="0">
            <x v="2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83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84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12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85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86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6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87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88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89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90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91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>
            <x v="10"/>
          </reference>
          <reference field="6" count="1" selected="0">
            <x v="2"/>
          </reference>
        </references>
      </pivotArea>
    </format>
    <format dxfId="392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9"/>
          </reference>
          <reference field="2" count="1" selected="0">
            <x v="1"/>
          </reference>
          <reference field="4" count="1" defaultSubtotal="1">
            <x v="10"/>
          </reference>
          <reference field="6" count="1" selected="0">
            <x v="2"/>
          </reference>
        </references>
      </pivotArea>
    </format>
    <format dxfId="393">
      <pivotArea type="all" dataOnly="0" outline="0" fieldPosition="0"/>
    </format>
    <format dxfId="394">
      <pivotArea field="6" type="button" dataOnly="0" labelOnly="1" outline="0" axis="axisRow" fieldPosition="0"/>
    </format>
    <format dxfId="395">
      <pivotArea field="0" type="button" dataOnly="0" labelOnly="1" outline="0" axis="axisRow" fieldPosition="1"/>
    </format>
    <format dxfId="396">
      <pivotArea field="1" type="button" dataOnly="0" labelOnly="1" outline="0" axis="axisRow" fieldPosition="2"/>
    </format>
    <format dxfId="397">
      <pivotArea field="2" type="button" dataOnly="0" labelOnly="1" outline="0" axis="axisRow" fieldPosition="3"/>
    </format>
    <format dxfId="398">
      <pivotArea field="4" type="button" dataOnly="0" labelOnly="1" outline="0" axis="axisRow" fieldPosition="4"/>
    </format>
    <format dxfId="399">
      <pivotArea field="7" type="button" dataOnly="0" labelOnly="1" outline="0" axis="axisRow" fieldPosition="5"/>
    </format>
    <format dxfId="400">
      <pivotArea dataOnly="0" labelOnly="1" outline="0" fieldPosition="0">
        <references count="1">
          <reference field="6" count="0"/>
        </references>
      </pivotArea>
    </format>
    <format dxfId="401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402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403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404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405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406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407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408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409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410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411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412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413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414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415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416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417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418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41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420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421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  <format dxfId="422">
      <pivotArea type="all" dataOnly="0" outline="0" fieldPosition="0"/>
    </format>
    <format dxfId="423">
      <pivotArea field="6" type="button" dataOnly="0" labelOnly="1" outline="0" axis="axisRow" fieldPosition="0"/>
    </format>
    <format dxfId="424">
      <pivotArea field="0" type="button" dataOnly="0" labelOnly="1" outline="0" axis="axisRow" fieldPosition="1"/>
    </format>
    <format dxfId="425">
      <pivotArea field="1" type="button" dataOnly="0" labelOnly="1" outline="0" axis="axisRow" fieldPosition="2"/>
    </format>
    <format dxfId="426">
      <pivotArea field="2" type="button" dataOnly="0" labelOnly="1" outline="0" axis="axisRow" fieldPosition="3"/>
    </format>
    <format dxfId="427">
      <pivotArea field="4" type="button" dataOnly="0" labelOnly="1" outline="0" axis="axisRow" fieldPosition="4"/>
    </format>
    <format dxfId="428">
      <pivotArea field="7" type="button" dataOnly="0" labelOnly="1" outline="0" axis="axisRow" fieldPosition="5"/>
    </format>
    <format dxfId="429">
      <pivotArea dataOnly="0" labelOnly="1" outline="0" fieldPosition="0">
        <references count="1">
          <reference field="6" count="0"/>
        </references>
      </pivotArea>
    </format>
    <format dxfId="430">
      <pivotArea dataOnly="0" labelOnly="1" outline="0" fieldPosition="0">
        <references count="2">
          <reference field="0" count="16">
            <x v="8"/>
            <x v="9"/>
            <x v="10"/>
            <x v="12"/>
            <x v="13"/>
            <x v="14"/>
            <x v="16"/>
            <x v="17"/>
            <x v="19"/>
            <x v="21"/>
            <x v="23"/>
            <x v="24"/>
            <x v="29"/>
            <x v="33"/>
            <x v="40"/>
            <x v="43"/>
          </reference>
          <reference field="6" count="0" selected="0"/>
        </references>
      </pivotArea>
    </format>
    <format dxfId="431">
      <pivotArea dataOnly="0" labelOnly="1" outline="0" fieldPosition="0">
        <references count="3">
          <reference field="0" count="1" selected="0">
            <x v="8"/>
          </reference>
          <reference field="1" count="1">
            <x v="38"/>
          </reference>
          <reference field="6" count="0" selected="0"/>
        </references>
      </pivotArea>
    </format>
    <format dxfId="432">
      <pivotArea dataOnly="0" labelOnly="1" outline="0" fieldPosition="0">
        <references count="3">
          <reference field="0" count="1" selected="0">
            <x v="9"/>
          </reference>
          <reference field="1" count="1">
            <x v="37"/>
          </reference>
          <reference field="6" count="0" selected="0"/>
        </references>
      </pivotArea>
    </format>
    <format dxfId="433">
      <pivotArea dataOnly="0" labelOnly="1" outline="0" fieldPosition="0">
        <references count="3">
          <reference field="0" count="1" selected="0">
            <x v="10"/>
          </reference>
          <reference field="1" count="1">
            <x v="46"/>
          </reference>
          <reference field="6" count="0" selected="0"/>
        </references>
      </pivotArea>
    </format>
    <format dxfId="434">
      <pivotArea dataOnly="0" labelOnly="1" outline="0" fieldPosition="0">
        <references count="3">
          <reference field="0" count="1" selected="0">
            <x v="12"/>
          </reference>
          <reference field="1" count="1">
            <x v="42"/>
          </reference>
          <reference field="6" count="0" selected="0"/>
        </references>
      </pivotArea>
    </format>
    <format dxfId="435">
      <pivotArea dataOnly="0" labelOnly="1" outline="0" fieldPosition="0">
        <references count="3">
          <reference field="0" count="1" selected="0">
            <x v="13"/>
          </reference>
          <reference field="1" count="1">
            <x v="39"/>
          </reference>
          <reference field="6" count="0" selected="0"/>
        </references>
      </pivotArea>
    </format>
    <format dxfId="436">
      <pivotArea dataOnly="0" labelOnly="1" outline="0" fieldPosition="0">
        <references count="3">
          <reference field="0" count="1" selected="0">
            <x v="14"/>
          </reference>
          <reference field="1" count="1">
            <x v="52"/>
          </reference>
          <reference field="6" count="0" selected="0"/>
        </references>
      </pivotArea>
    </format>
    <format dxfId="437">
      <pivotArea dataOnly="0" labelOnly="1" outline="0" fieldPosition="0">
        <references count="3">
          <reference field="0" count="1" selected="0">
            <x v="16"/>
          </reference>
          <reference field="1" count="1">
            <x v="51"/>
          </reference>
          <reference field="6" count="0" selected="0"/>
        </references>
      </pivotArea>
    </format>
    <format dxfId="438">
      <pivotArea dataOnly="0" labelOnly="1" outline="0" fieldPosition="0">
        <references count="3">
          <reference field="0" count="1" selected="0">
            <x v="17"/>
          </reference>
          <reference field="1" count="1">
            <x v="44"/>
          </reference>
          <reference field="6" count="0" selected="0"/>
        </references>
      </pivotArea>
    </format>
    <format dxfId="439">
      <pivotArea dataOnly="0" labelOnly="1" outline="0" fieldPosition="0">
        <references count="3">
          <reference field="0" count="1" selected="0">
            <x v="19"/>
          </reference>
          <reference field="1" count="1">
            <x v="40"/>
          </reference>
          <reference field="6" count="0" selected="0"/>
        </references>
      </pivotArea>
    </format>
    <format dxfId="440">
      <pivotArea dataOnly="0" labelOnly="1" outline="0" fieldPosition="0">
        <references count="3">
          <reference field="0" count="1" selected="0">
            <x v="21"/>
          </reference>
          <reference field="1" count="1">
            <x v="43"/>
          </reference>
          <reference field="6" count="0" selected="0"/>
        </references>
      </pivotArea>
    </format>
    <format dxfId="441">
      <pivotArea dataOnly="0" labelOnly="1" outline="0" fieldPosition="0">
        <references count="3">
          <reference field="0" count="1" selected="0">
            <x v="23"/>
          </reference>
          <reference field="1" count="1">
            <x v="47"/>
          </reference>
          <reference field="6" count="0" selected="0"/>
        </references>
      </pivotArea>
    </format>
    <format dxfId="442">
      <pivotArea dataOnly="0" labelOnly="1" outline="0" fieldPosition="0">
        <references count="3">
          <reference field="0" count="1" selected="0">
            <x v="24"/>
          </reference>
          <reference field="1" count="1">
            <x v="49"/>
          </reference>
          <reference field="6" count="0" selected="0"/>
        </references>
      </pivotArea>
    </format>
    <format dxfId="443">
      <pivotArea dataOnly="0" labelOnly="1" outline="0" fieldPosition="0">
        <references count="3">
          <reference field="0" count="1" selected="0">
            <x v="29"/>
          </reference>
          <reference field="1" count="1">
            <x v="53"/>
          </reference>
          <reference field="6" count="0" selected="0"/>
        </references>
      </pivotArea>
    </format>
    <format dxfId="444">
      <pivotArea dataOnly="0" labelOnly="1" outline="0" fieldPosition="0">
        <references count="3">
          <reference field="0" count="1" selected="0">
            <x v="33"/>
          </reference>
          <reference field="1" count="1">
            <x v="48"/>
          </reference>
          <reference field="6" count="0" selected="0"/>
        </references>
      </pivotArea>
    </format>
    <format dxfId="445">
      <pivotArea dataOnly="0" labelOnly="1" outline="0" fieldPosition="0">
        <references count="3">
          <reference field="0" count="1" selected="0">
            <x v="40"/>
          </reference>
          <reference field="1" count="1">
            <x v="45"/>
          </reference>
          <reference field="6" count="0" selected="0"/>
        </references>
      </pivotArea>
    </format>
    <format dxfId="446">
      <pivotArea dataOnly="0" labelOnly="1" outline="0" fieldPosition="0">
        <references count="3">
          <reference field="0" count="1" selected="0">
            <x v="43"/>
          </reference>
          <reference field="1" count="1">
            <x v="50"/>
          </reference>
          <reference field="6" count="0" selected="0"/>
        </references>
      </pivotArea>
    </format>
    <format dxfId="447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38"/>
          </reference>
          <reference field="2" count="1">
            <x v="1"/>
          </reference>
          <reference field="6" count="0" selected="0"/>
        </references>
      </pivotArea>
    </format>
    <format dxfId="44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49"/>
          </reference>
          <reference field="2" count="1">
            <x v="2"/>
          </reference>
          <reference field="6" count="0" selected="0"/>
        </references>
      </pivotArea>
    </format>
    <format dxfId="449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53"/>
          </reference>
          <reference field="2" count="1">
            <x v="1"/>
          </reference>
          <reference field="6" count="0" selected="0"/>
        </references>
      </pivotArea>
    </format>
    <format dxfId="450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38"/>
          </reference>
          <reference field="2" count="1" selected="0">
            <x v="1"/>
          </reference>
          <reference field="4" count="1">
            <x v="10"/>
          </reference>
          <reference field="6" count="0" selected="0"/>
        </references>
      </pivotArea>
    </format>
  </formats>
  <pivotTableStyleInfo name="PivotStyleDark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23140-6703-4BC5-9105-21D79DE3BB92}" name="Table13" displayName="Table13" ref="A1:I67" totalsRowShown="0" headerRowDxfId="10" dataDxfId="9">
  <autoFilter ref="A1:I67" xr:uid="{44023140-6703-4BC5-9105-21D79DE3BB92}"/>
  <tableColumns count="9">
    <tableColumn id="1" xr3:uid="{9830072F-27DD-4946-868B-9B14DF16010F}" name="Requisitos" dataDxfId="8"/>
    <tableColumn id="2" xr3:uid="{C5048B3F-7D93-4974-9575-A1814E85D56A}" name="Descrição" dataDxfId="7"/>
    <tableColumn id="3" xr3:uid="{60030217-20A6-486B-8BB4-9BD52424D8E5}" name="Classificação" dataDxfId="6"/>
    <tableColumn id="4" xr3:uid="{00BBC025-326F-48C0-9170-45B1D3326017}" name="Data" dataDxfId="5"/>
    <tableColumn id="5" xr3:uid="{285BB9AA-114B-4DA4-B67D-724BDE8127EE}" name="Responsáveis" dataDxfId="4"/>
    <tableColumn id="7" xr3:uid="{406071E7-8DAA-452F-8802-672123EEB3FA}" name="Tipo Sprint" dataDxfId="3"/>
    <tableColumn id="6" xr3:uid="{E39D2C67-8D6E-42BE-A22D-5F0B018BF785}" name="Sprint" dataDxfId="2"/>
    <tableColumn id="8" xr3:uid="{0D58422A-BF9F-404D-A332-0B027E6A1CBE}" name="Pesos" dataDxfId="1"/>
    <tableColumn id="9" xr3:uid="{F602AAC0-4C57-4121-A55A-B5268B530D5F}" name="Fibonacci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460C-A383-4D63-AFD3-6721F5E65CBA}">
  <dimension ref="A1"/>
  <sheetViews>
    <sheetView topLeftCell="A2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>
      <pane ySplit="1" topLeftCell="E65" activePane="bottomLeft" state="frozen"/>
      <selection pane="bottomLeft" sqref="A1:Q80"/>
    </sheetView>
  </sheetViews>
  <sheetFormatPr defaultRowHeight="15"/>
  <cols>
    <col min="1" max="1" width="16.7109375" customWidth="1"/>
    <col min="2" max="2" width="20.5703125" customWidth="1"/>
    <col min="3" max="3" width="18" customWidth="1"/>
    <col min="4" max="4" width="10.85546875" customWidth="1"/>
    <col min="5" max="5" width="18.28515625" customWidth="1"/>
    <col min="6" max="6" width="16.85546875" customWidth="1"/>
    <col min="7" max="7" width="14.42578125" customWidth="1"/>
    <col min="8" max="8" width="12.7109375" customWidth="1"/>
    <col min="9" max="9" width="15.7109375" customWidth="1"/>
    <col min="11" max="11" width="13.42578125" customWidth="1"/>
    <col min="12" max="12" width="12.7109375" customWidth="1"/>
    <col min="13" max="13" width="34" style="35" bestFit="1" customWidth="1"/>
    <col min="14" max="14" width="31.7109375" style="35" bestFit="1" customWidth="1"/>
    <col min="15" max="15" width="9.28515625" bestFit="1" customWidth="1"/>
    <col min="16" max="16" width="36.5703125" bestFit="1" customWidth="1"/>
  </cols>
  <sheetData>
    <row r="1" spans="1:16" ht="30.7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"/>
      <c r="K1" s="24" t="s">
        <v>9</v>
      </c>
      <c r="M1" s="34" t="s">
        <v>10</v>
      </c>
      <c r="N1" s="36" t="s">
        <v>11</v>
      </c>
      <c r="O1" s="19"/>
    </row>
    <row r="2" spans="1:16" ht="43.5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1">
        <v>3</v>
      </c>
      <c r="J2" s="1"/>
      <c r="K2" s="1">
        <f>SUM(I:I)</f>
        <v>473</v>
      </c>
      <c r="M2" s="35" t="s">
        <v>19</v>
      </c>
      <c r="N2" s="35" t="s">
        <v>20</v>
      </c>
      <c r="P2" s="23"/>
    </row>
    <row r="3" spans="1:16" ht="58.5" customHeight="1">
      <c r="A3" s="2" t="s">
        <v>21</v>
      </c>
      <c r="B3" s="2" t="s">
        <v>22</v>
      </c>
      <c r="C3" s="2" t="s">
        <v>14</v>
      </c>
      <c r="D3" s="2" t="s">
        <v>15</v>
      </c>
      <c r="E3" s="2" t="s">
        <v>15</v>
      </c>
      <c r="F3" s="2" t="s">
        <v>16</v>
      </c>
      <c r="G3" s="2" t="s">
        <v>17</v>
      </c>
      <c r="H3" s="2" t="s">
        <v>23</v>
      </c>
      <c r="I3" s="21">
        <v>5</v>
      </c>
      <c r="J3" s="1"/>
      <c r="M3" s="35" t="s">
        <v>24</v>
      </c>
      <c r="N3" s="35" t="s">
        <v>25</v>
      </c>
    </row>
    <row r="4" spans="1:16" ht="43.5">
      <c r="A4" s="2" t="s">
        <v>26</v>
      </c>
      <c r="B4" s="2" t="s">
        <v>27</v>
      </c>
      <c r="C4" s="2" t="s">
        <v>14</v>
      </c>
      <c r="D4" s="2" t="s">
        <v>15</v>
      </c>
      <c r="E4" s="2" t="s">
        <v>15</v>
      </c>
      <c r="F4" s="2" t="s">
        <v>16</v>
      </c>
      <c r="G4" s="2" t="s">
        <v>17</v>
      </c>
      <c r="H4" s="2" t="s">
        <v>23</v>
      </c>
      <c r="I4" s="21">
        <v>5</v>
      </c>
      <c r="J4" s="1"/>
      <c r="K4" s="1"/>
      <c r="M4" s="35" t="s">
        <v>28</v>
      </c>
      <c r="N4" s="35" t="s">
        <v>29</v>
      </c>
    </row>
    <row r="5" spans="1:16" ht="101.25">
      <c r="A5" s="2" t="s">
        <v>30</v>
      </c>
      <c r="B5" s="2" t="s">
        <v>31</v>
      </c>
      <c r="C5" s="2" t="s">
        <v>14</v>
      </c>
      <c r="D5" s="2" t="s">
        <v>15</v>
      </c>
      <c r="E5" s="2" t="s">
        <v>15</v>
      </c>
      <c r="F5" s="2" t="s">
        <v>16</v>
      </c>
      <c r="G5" s="2" t="s">
        <v>17</v>
      </c>
      <c r="H5" s="2" t="s">
        <v>32</v>
      </c>
      <c r="I5" s="21">
        <v>8</v>
      </c>
      <c r="J5" s="1"/>
      <c r="K5" s="1"/>
      <c r="M5" s="35" t="s">
        <v>33</v>
      </c>
      <c r="N5" s="35" t="s">
        <v>34</v>
      </c>
    </row>
    <row r="6" spans="1:16" ht="43.5">
      <c r="A6" s="2" t="s">
        <v>35</v>
      </c>
      <c r="B6" s="2" t="s">
        <v>36</v>
      </c>
      <c r="C6" s="2" t="s">
        <v>14</v>
      </c>
      <c r="D6" s="2" t="s">
        <v>15</v>
      </c>
      <c r="E6" s="2" t="s">
        <v>15</v>
      </c>
      <c r="F6" s="2" t="s">
        <v>16</v>
      </c>
      <c r="G6" s="2" t="s">
        <v>17</v>
      </c>
      <c r="H6" s="2" t="s">
        <v>18</v>
      </c>
      <c r="I6" s="21">
        <v>3</v>
      </c>
      <c r="J6" s="1"/>
      <c r="K6" s="1"/>
      <c r="M6" s="35" t="s">
        <v>37</v>
      </c>
      <c r="N6" s="35" t="s">
        <v>38</v>
      </c>
    </row>
    <row r="7" spans="1:16" ht="72.75">
      <c r="A7" s="2" t="s">
        <v>39</v>
      </c>
      <c r="B7" s="2" t="s">
        <v>40</v>
      </c>
      <c r="C7" s="2" t="s">
        <v>14</v>
      </c>
      <c r="D7" s="2" t="s">
        <v>15</v>
      </c>
      <c r="E7" s="2" t="s">
        <v>15</v>
      </c>
      <c r="F7" s="2" t="s">
        <v>16</v>
      </c>
      <c r="G7" s="2" t="s">
        <v>17</v>
      </c>
      <c r="H7" s="2" t="s">
        <v>18</v>
      </c>
      <c r="I7" s="21">
        <v>3</v>
      </c>
      <c r="J7" s="1"/>
      <c r="K7" s="1"/>
      <c r="M7" s="35" t="s">
        <v>41</v>
      </c>
      <c r="N7" s="35" t="s">
        <v>42</v>
      </c>
    </row>
    <row r="8" spans="1:16" ht="57.75">
      <c r="A8" s="2" t="s">
        <v>43</v>
      </c>
      <c r="B8" s="2" t="s">
        <v>44</v>
      </c>
      <c r="C8" s="2" t="s">
        <v>14</v>
      </c>
      <c r="D8" s="2" t="s">
        <v>15</v>
      </c>
      <c r="E8" s="2" t="s">
        <v>15</v>
      </c>
      <c r="F8" s="2" t="s">
        <v>16</v>
      </c>
      <c r="G8" s="2" t="s">
        <v>17</v>
      </c>
      <c r="H8" s="2" t="s">
        <v>32</v>
      </c>
      <c r="I8" s="21">
        <v>8</v>
      </c>
      <c r="J8" s="1"/>
      <c r="K8" s="1"/>
    </row>
    <row r="9" spans="1:16" ht="43.5">
      <c r="A9" s="2" t="s">
        <v>45</v>
      </c>
      <c r="B9" s="2" t="s">
        <v>46</v>
      </c>
      <c r="C9" s="2" t="s">
        <v>14</v>
      </c>
      <c r="D9" s="2" t="s">
        <v>15</v>
      </c>
      <c r="E9" s="2" t="s">
        <v>15</v>
      </c>
      <c r="F9" s="2" t="s">
        <v>16</v>
      </c>
      <c r="G9" s="2" t="s">
        <v>17</v>
      </c>
      <c r="H9" s="2" t="s">
        <v>18</v>
      </c>
      <c r="I9" s="21">
        <v>3</v>
      </c>
      <c r="J9" s="1"/>
      <c r="K9" s="1"/>
    </row>
    <row r="10" spans="1:16" ht="43.5">
      <c r="A10" s="2" t="s">
        <v>47</v>
      </c>
      <c r="B10" s="2" t="s">
        <v>48</v>
      </c>
      <c r="C10" s="2" t="s">
        <v>14</v>
      </c>
      <c r="D10" s="2" t="s">
        <v>15</v>
      </c>
      <c r="E10" s="2" t="s">
        <v>15</v>
      </c>
      <c r="F10" s="2" t="s">
        <v>16</v>
      </c>
      <c r="G10" s="2" t="s">
        <v>17</v>
      </c>
      <c r="H10" s="2" t="s">
        <v>32</v>
      </c>
      <c r="I10" s="21">
        <v>8</v>
      </c>
      <c r="J10" s="1"/>
      <c r="K10" s="1"/>
    </row>
    <row r="11" spans="1:16" ht="57.75">
      <c r="A11" s="2" t="s">
        <v>49</v>
      </c>
      <c r="B11" s="2" t="s">
        <v>50</v>
      </c>
      <c r="C11" s="2" t="s">
        <v>14</v>
      </c>
      <c r="D11" s="2" t="s">
        <v>15</v>
      </c>
      <c r="E11" s="2" t="s">
        <v>15</v>
      </c>
      <c r="F11" s="2" t="s">
        <v>16</v>
      </c>
      <c r="G11" s="2" t="s">
        <v>17</v>
      </c>
      <c r="H11" s="2" t="s">
        <v>23</v>
      </c>
      <c r="I11" s="21">
        <v>5</v>
      </c>
      <c r="J11" s="1"/>
      <c r="K11" s="1"/>
    </row>
    <row r="12" spans="1:16" ht="43.5">
      <c r="A12" s="2" t="s">
        <v>51</v>
      </c>
      <c r="B12" s="2" t="s">
        <v>52</v>
      </c>
      <c r="C12" s="2" t="s">
        <v>14</v>
      </c>
      <c r="D12" s="2" t="s">
        <v>15</v>
      </c>
      <c r="E12" s="2" t="s">
        <v>15</v>
      </c>
      <c r="F12" s="2" t="s">
        <v>16</v>
      </c>
      <c r="G12" s="2" t="s">
        <v>17</v>
      </c>
      <c r="H12" s="2" t="s">
        <v>18</v>
      </c>
      <c r="I12" s="21">
        <v>3</v>
      </c>
      <c r="J12" s="1"/>
      <c r="K12" s="1"/>
    </row>
    <row r="13" spans="1:16" ht="87">
      <c r="A13" s="2" t="s">
        <v>53</v>
      </c>
      <c r="B13" s="2" t="s">
        <v>54</v>
      </c>
      <c r="C13" s="2" t="s">
        <v>14</v>
      </c>
      <c r="D13" s="2" t="s">
        <v>15</v>
      </c>
      <c r="E13" s="2" t="s">
        <v>15</v>
      </c>
      <c r="F13" s="2" t="s">
        <v>16</v>
      </c>
      <c r="G13" s="2" t="s">
        <v>17</v>
      </c>
      <c r="H13" s="2" t="s">
        <v>18</v>
      </c>
      <c r="I13" s="21">
        <v>3</v>
      </c>
      <c r="J13" s="1"/>
      <c r="K13" s="1"/>
    </row>
    <row r="14" spans="1:16" ht="29.25">
      <c r="A14" s="2" t="s">
        <v>55</v>
      </c>
      <c r="B14" s="2" t="s">
        <v>56</v>
      </c>
      <c r="C14" s="2" t="s">
        <v>14</v>
      </c>
      <c r="D14" s="2" t="s">
        <v>15</v>
      </c>
      <c r="E14" s="2" t="s">
        <v>15</v>
      </c>
      <c r="F14" s="2" t="s">
        <v>16</v>
      </c>
      <c r="G14" s="2" t="s">
        <v>17</v>
      </c>
      <c r="H14" s="2" t="s">
        <v>23</v>
      </c>
      <c r="I14" s="21">
        <v>5</v>
      </c>
      <c r="J14" s="1"/>
      <c r="K14" s="1"/>
    </row>
    <row r="15" spans="1:16" ht="130.5">
      <c r="A15" s="2" t="s">
        <v>57</v>
      </c>
      <c r="B15" s="2" t="s">
        <v>58</v>
      </c>
      <c r="C15" s="2" t="s">
        <v>14</v>
      </c>
      <c r="D15" s="2" t="s">
        <v>15</v>
      </c>
      <c r="E15" s="2" t="s">
        <v>15</v>
      </c>
      <c r="F15" s="2" t="s">
        <v>16</v>
      </c>
      <c r="G15" s="2" t="s">
        <v>17</v>
      </c>
      <c r="H15" s="2" t="s">
        <v>18</v>
      </c>
      <c r="I15" s="21">
        <v>3</v>
      </c>
      <c r="J15" s="1"/>
      <c r="K15" s="1"/>
    </row>
    <row r="16" spans="1:16" ht="57.75">
      <c r="A16" s="2" t="s">
        <v>59</v>
      </c>
      <c r="B16" s="2" t="s">
        <v>60</v>
      </c>
      <c r="C16" s="2" t="s">
        <v>14</v>
      </c>
      <c r="D16" s="2" t="s">
        <v>15</v>
      </c>
      <c r="E16" s="2" t="s">
        <v>15</v>
      </c>
      <c r="F16" s="2" t="s">
        <v>16</v>
      </c>
      <c r="G16" s="2" t="s">
        <v>17</v>
      </c>
      <c r="H16" s="2" t="s">
        <v>18</v>
      </c>
      <c r="I16" s="21">
        <v>3</v>
      </c>
      <c r="J16" s="1"/>
      <c r="K16" s="1"/>
    </row>
    <row r="17" spans="1:11" ht="87">
      <c r="A17" s="2" t="s">
        <v>61</v>
      </c>
      <c r="B17" s="2" t="s">
        <v>62</v>
      </c>
      <c r="C17" s="2" t="s">
        <v>63</v>
      </c>
      <c r="D17" s="2" t="s">
        <v>15</v>
      </c>
      <c r="E17" s="2" t="s">
        <v>15</v>
      </c>
      <c r="F17" s="2" t="s">
        <v>16</v>
      </c>
      <c r="G17" s="2" t="s">
        <v>17</v>
      </c>
      <c r="H17" s="2" t="s">
        <v>23</v>
      </c>
      <c r="I17" s="21">
        <v>5</v>
      </c>
      <c r="J17" s="4"/>
      <c r="K17" s="1"/>
    </row>
    <row r="18" spans="1:11" ht="115.5">
      <c r="A18" s="2" t="s">
        <v>64</v>
      </c>
      <c r="B18" s="2" t="s">
        <v>65</v>
      </c>
      <c r="C18" s="2" t="s">
        <v>14</v>
      </c>
      <c r="D18" s="2" t="s">
        <v>66</v>
      </c>
      <c r="E18" s="2" t="s">
        <v>67</v>
      </c>
      <c r="F18" s="2" t="s">
        <v>68</v>
      </c>
      <c r="G18" s="2" t="s">
        <v>69</v>
      </c>
      <c r="H18" s="2" t="s">
        <v>32</v>
      </c>
      <c r="I18" s="21">
        <v>8</v>
      </c>
      <c r="J18" s="1"/>
      <c r="K18" s="1"/>
    </row>
    <row r="19" spans="1:11" ht="130.5">
      <c r="A19" s="2" t="s">
        <v>70</v>
      </c>
      <c r="B19" s="2" t="s">
        <v>71</v>
      </c>
      <c r="C19" s="2" t="s">
        <v>14</v>
      </c>
      <c r="D19" s="2" t="s">
        <v>66</v>
      </c>
      <c r="E19" s="2" t="s">
        <v>72</v>
      </c>
      <c r="F19" s="2" t="s">
        <v>68</v>
      </c>
      <c r="G19" s="2" t="s">
        <v>69</v>
      </c>
      <c r="H19" s="2" t="s">
        <v>32</v>
      </c>
      <c r="I19" s="21">
        <v>8</v>
      </c>
      <c r="J19" s="1"/>
      <c r="K19" s="1"/>
    </row>
    <row r="20" spans="1:11" ht="101.25">
      <c r="A20" s="2" t="s">
        <v>73</v>
      </c>
      <c r="B20" s="2" t="s">
        <v>74</v>
      </c>
      <c r="C20" s="2" t="s">
        <v>14</v>
      </c>
      <c r="D20" s="2" t="s">
        <v>66</v>
      </c>
      <c r="E20" s="2" t="s">
        <v>67</v>
      </c>
      <c r="F20" s="2" t="s">
        <v>68</v>
      </c>
      <c r="G20" s="2" t="s">
        <v>69</v>
      </c>
      <c r="H20" s="2" t="s">
        <v>32</v>
      </c>
      <c r="I20" s="21">
        <v>8</v>
      </c>
      <c r="J20" s="1"/>
      <c r="K20" s="1"/>
    </row>
    <row r="21" spans="1:11" ht="87">
      <c r="A21" s="2" t="s">
        <v>75</v>
      </c>
      <c r="B21" s="2" t="s">
        <v>76</v>
      </c>
      <c r="C21" s="2" t="s">
        <v>14</v>
      </c>
      <c r="D21" s="2" t="s">
        <v>66</v>
      </c>
      <c r="E21" s="2" t="s">
        <v>67</v>
      </c>
      <c r="F21" s="2" t="s">
        <v>68</v>
      </c>
      <c r="G21" s="2" t="s">
        <v>69</v>
      </c>
      <c r="H21" s="2" t="s">
        <v>32</v>
      </c>
      <c r="I21" s="21">
        <v>8</v>
      </c>
      <c r="J21" s="1"/>
      <c r="K21" s="1"/>
    </row>
    <row r="22" spans="1:11" ht="87">
      <c r="A22" s="2" t="s">
        <v>77</v>
      </c>
      <c r="B22" s="2" t="s">
        <v>78</v>
      </c>
      <c r="C22" s="2" t="s">
        <v>14</v>
      </c>
      <c r="D22" s="2" t="s">
        <v>66</v>
      </c>
      <c r="E22" s="2" t="s">
        <v>79</v>
      </c>
      <c r="F22" s="2" t="s">
        <v>68</v>
      </c>
      <c r="G22" s="2" t="s">
        <v>69</v>
      </c>
      <c r="H22" s="2" t="s">
        <v>23</v>
      </c>
      <c r="I22" s="21">
        <v>5</v>
      </c>
      <c r="J22" s="1"/>
      <c r="K22" s="1"/>
    </row>
    <row r="23" spans="1:11" ht="87">
      <c r="A23" s="2" t="s">
        <v>80</v>
      </c>
      <c r="B23" s="2" t="s">
        <v>81</v>
      </c>
      <c r="C23" s="2" t="s">
        <v>63</v>
      </c>
      <c r="D23" s="2" t="s">
        <v>66</v>
      </c>
      <c r="E23" s="2" t="s">
        <v>67</v>
      </c>
      <c r="F23" s="2" t="s">
        <v>68</v>
      </c>
      <c r="G23" s="2" t="s">
        <v>69</v>
      </c>
      <c r="H23" s="2" t="s">
        <v>32</v>
      </c>
      <c r="I23" s="21">
        <v>8</v>
      </c>
      <c r="J23" s="1"/>
      <c r="K23" s="1"/>
    </row>
    <row r="24" spans="1:11" ht="72.7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87</v>
      </c>
      <c r="G24" s="2" t="s">
        <v>69</v>
      </c>
      <c r="H24" s="2" t="s">
        <v>32</v>
      </c>
      <c r="I24" s="21">
        <v>8</v>
      </c>
      <c r="J24" s="1"/>
      <c r="K24" s="1"/>
    </row>
    <row r="25" spans="1:11" ht="72.75">
      <c r="A25" s="2" t="s">
        <v>88</v>
      </c>
      <c r="B25" s="2" t="s">
        <v>89</v>
      </c>
      <c r="C25" s="2" t="s">
        <v>14</v>
      </c>
      <c r="D25" s="2" t="s">
        <v>85</v>
      </c>
      <c r="E25" s="2" t="s">
        <v>90</v>
      </c>
      <c r="F25" s="2" t="s">
        <v>87</v>
      </c>
      <c r="G25" s="2" t="s">
        <v>69</v>
      </c>
      <c r="H25" s="2" t="s">
        <v>32</v>
      </c>
      <c r="I25" s="21">
        <v>8</v>
      </c>
      <c r="J25" s="3"/>
      <c r="K25" s="1"/>
    </row>
    <row r="26" spans="1:11" ht="101.25">
      <c r="A26" s="2" t="s">
        <v>91</v>
      </c>
      <c r="B26" s="2" t="s">
        <v>92</v>
      </c>
      <c r="C26" s="2" t="s">
        <v>14</v>
      </c>
      <c r="D26" s="2" t="s">
        <v>85</v>
      </c>
      <c r="E26" s="2" t="s">
        <v>86</v>
      </c>
      <c r="F26" s="2" t="s">
        <v>87</v>
      </c>
      <c r="G26" s="2" t="s">
        <v>69</v>
      </c>
      <c r="H26" s="2" t="s">
        <v>93</v>
      </c>
      <c r="I26" s="21">
        <v>21</v>
      </c>
      <c r="J26" s="1"/>
      <c r="K26" s="1"/>
    </row>
    <row r="27" spans="1:11" ht="101.25">
      <c r="A27" s="2" t="s">
        <v>94</v>
      </c>
      <c r="B27" s="2" t="s">
        <v>95</v>
      </c>
      <c r="C27" s="2" t="s">
        <v>14</v>
      </c>
      <c r="D27" s="2" t="s">
        <v>85</v>
      </c>
      <c r="E27" s="2" t="s">
        <v>90</v>
      </c>
      <c r="F27" s="2" t="s">
        <v>87</v>
      </c>
      <c r="G27" s="2" t="s">
        <v>69</v>
      </c>
      <c r="H27" s="2" t="s">
        <v>32</v>
      </c>
      <c r="I27" s="21">
        <v>8</v>
      </c>
      <c r="J27" s="1"/>
      <c r="K27" s="1"/>
    </row>
    <row r="28" spans="1:11" ht="87">
      <c r="A28" s="2" t="s">
        <v>96</v>
      </c>
      <c r="B28" s="2" t="s">
        <v>97</v>
      </c>
      <c r="C28" s="2" t="s">
        <v>14</v>
      </c>
      <c r="D28" s="2" t="s">
        <v>85</v>
      </c>
      <c r="E28" s="2" t="s">
        <v>90</v>
      </c>
      <c r="F28" s="2" t="s">
        <v>87</v>
      </c>
      <c r="G28" s="2" t="s">
        <v>69</v>
      </c>
      <c r="H28" s="2" t="s">
        <v>32</v>
      </c>
      <c r="I28" s="21">
        <v>8</v>
      </c>
      <c r="J28" s="1"/>
      <c r="K28" s="1"/>
    </row>
    <row r="29" spans="1:11" ht="87">
      <c r="A29" s="2" t="s">
        <v>98</v>
      </c>
      <c r="B29" s="2" t="s">
        <v>99</v>
      </c>
      <c r="C29" s="2" t="s">
        <v>14</v>
      </c>
      <c r="D29" s="2" t="s">
        <v>85</v>
      </c>
      <c r="E29" s="2" t="s">
        <v>90</v>
      </c>
      <c r="F29" s="2" t="s">
        <v>87</v>
      </c>
      <c r="G29" s="2" t="s">
        <v>69</v>
      </c>
      <c r="H29" s="2" t="s">
        <v>32</v>
      </c>
      <c r="I29" s="21">
        <v>8</v>
      </c>
      <c r="J29" s="1"/>
      <c r="K29" s="1"/>
    </row>
    <row r="30" spans="1:11" ht="72.75">
      <c r="A30" s="2" t="s">
        <v>100</v>
      </c>
      <c r="B30" s="2" t="s">
        <v>101</v>
      </c>
      <c r="C30" s="2" t="s">
        <v>14</v>
      </c>
      <c r="D30" s="2" t="s">
        <v>102</v>
      </c>
      <c r="E30" s="2" t="s">
        <v>103</v>
      </c>
      <c r="F30" s="2" t="s">
        <v>104</v>
      </c>
      <c r="G30" s="2" t="s">
        <v>69</v>
      </c>
      <c r="H30" s="2" t="s">
        <v>32</v>
      </c>
      <c r="I30" s="21">
        <v>8</v>
      </c>
      <c r="J30" s="1"/>
      <c r="K30" s="1"/>
    </row>
    <row r="31" spans="1:11" ht="405">
      <c r="A31" s="2" t="s">
        <v>105</v>
      </c>
      <c r="B31" s="2" t="s">
        <v>106</v>
      </c>
      <c r="C31" s="2" t="s">
        <v>14</v>
      </c>
      <c r="D31" s="2" t="s">
        <v>102</v>
      </c>
      <c r="E31" s="2" t="s">
        <v>107</v>
      </c>
      <c r="F31" s="2" t="s">
        <v>104</v>
      </c>
      <c r="G31" s="2" t="s">
        <v>69</v>
      </c>
      <c r="H31" s="2" t="s">
        <v>32</v>
      </c>
      <c r="I31" s="21">
        <v>8</v>
      </c>
      <c r="J31" s="1"/>
      <c r="K31" s="1"/>
    </row>
    <row r="32" spans="1:11" ht="72.75">
      <c r="A32" s="2" t="s">
        <v>108</v>
      </c>
      <c r="B32" s="2" t="s">
        <v>109</v>
      </c>
      <c r="C32" s="2" t="s">
        <v>14</v>
      </c>
      <c r="D32" s="2" t="s">
        <v>102</v>
      </c>
      <c r="E32" s="2" t="s">
        <v>110</v>
      </c>
      <c r="F32" s="2" t="s">
        <v>104</v>
      </c>
      <c r="G32" s="2" t="s">
        <v>69</v>
      </c>
      <c r="H32" s="2" t="s">
        <v>111</v>
      </c>
      <c r="I32" s="21">
        <v>13</v>
      </c>
      <c r="J32" s="1"/>
      <c r="K32" s="1"/>
    </row>
    <row r="33" spans="1:11" ht="72.75">
      <c r="A33" s="2" t="s">
        <v>112</v>
      </c>
      <c r="B33" s="2" t="s">
        <v>113</v>
      </c>
      <c r="C33" s="2" t="s">
        <v>14</v>
      </c>
      <c r="D33" s="2" t="s">
        <v>102</v>
      </c>
      <c r="E33" s="2" t="s">
        <v>114</v>
      </c>
      <c r="F33" s="2" t="s">
        <v>104</v>
      </c>
      <c r="G33" s="2" t="s">
        <v>69</v>
      </c>
      <c r="H33" s="2" t="s">
        <v>32</v>
      </c>
      <c r="I33" s="21">
        <v>8</v>
      </c>
      <c r="J33" s="1"/>
      <c r="K33" s="1"/>
    </row>
    <row r="34" spans="1:11" ht="72.75">
      <c r="A34" s="2" t="s">
        <v>115</v>
      </c>
      <c r="B34" s="2" t="s">
        <v>116</v>
      </c>
      <c r="C34" s="2" t="s">
        <v>14</v>
      </c>
      <c r="D34" s="2" t="s">
        <v>102</v>
      </c>
      <c r="E34" s="2" t="s">
        <v>117</v>
      </c>
      <c r="F34" s="2" t="s">
        <v>104</v>
      </c>
      <c r="G34" s="2" t="s">
        <v>69</v>
      </c>
      <c r="H34" s="2" t="s">
        <v>32</v>
      </c>
      <c r="I34" s="21">
        <v>8</v>
      </c>
      <c r="J34" s="1"/>
      <c r="K34" s="1"/>
    </row>
    <row r="35" spans="1:11" ht="72.75">
      <c r="A35" s="2" t="s">
        <v>118</v>
      </c>
      <c r="B35" s="2" t="s">
        <v>119</v>
      </c>
      <c r="C35" s="2" t="s">
        <v>63</v>
      </c>
      <c r="D35" s="2" t="s">
        <v>120</v>
      </c>
      <c r="E35" s="2" t="s">
        <v>114</v>
      </c>
      <c r="F35" s="2" t="s">
        <v>104</v>
      </c>
      <c r="G35" s="2" t="s">
        <v>69</v>
      </c>
      <c r="H35" s="2" t="s">
        <v>32</v>
      </c>
      <c r="I35" s="21">
        <v>8</v>
      </c>
      <c r="J35" s="1"/>
      <c r="K35" s="1"/>
    </row>
    <row r="36" spans="1:11" ht="188.25">
      <c r="A36" s="2" t="s">
        <v>121</v>
      </c>
      <c r="B36" s="2" t="s">
        <v>122</v>
      </c>
      <c r="C36" s="2" t="s">
        <v>63</v>
      </c>
      <c r="D36" s="2" t="s">
        <v>102</v>
      </c>
      <c r="E36" s="2" t="s">
        <v>117</v>
      </c>
      <c r="F36" s="2" t="s">
        <v>104</v>
      </c>
      <c r="G36" s="2" t="s">
        <v>69</v>
      </c>
      <c r="H36" s="2" t="s">
        <v>32</v>
      </c>
      <c r="I36" s="21">
        <v>8</v>
      </c>
      <c r="J36" s="1"/>
      <c r="K36" s="1"/>
    </row>
    <row r="37" spans="1:11" ht="115.5">
      <c r="A37" s="2" t="s">
        <v>123</v>
      </c>
      <c r="B37" s="2" t="s">
        <v>124</v>
      </c>
      <c r="C37" s="2" t="s">
        <v>14</v>
      </c>
      <c r="D37" s="2" t="s">
        <v>120</v>
      </c>
      <c r="E37" s="2" t="s">
        <v>117</v>
      </c>
      <c r="F37" s="2" t="s">
        <v>104</v>
      </c>
      <c r="G37" s="2" t="s">
        <v>69</v>
      </c>
      <c r="H37" s="2" t="s">
        <v>32</v>
      </c>
      <c r="I37" s="21">
        <v>8</v>
      </c>
      <c r="J37" s="1"/>
      <c r="K37" s="1"/>
    </row>
    <row r="38" spans="1:11" ht="115.5">
      <c r="A38" s="2" t="s">
        <v>125</v>
      </c>
      <c r="B38" s="2" t="s">
        <v>126</v>
      </c>
      <c r="C38" s="2" t="s">
        <v>14</v>
      </c>
      <c r="D38" s="2" t="s">
        <v>120</v>
      </c>
      <c r="E38" s="2" t="s">
        <v>117</v>
      </c>
      <c r="F38" s="2" t="s">
        <v>104</v>
      </c>
      <c r="G38" s="2" t="s">
        <v>69</v>
      </c>
      <c r="H38" s="2" t="s">
        <v>32</v>
      </c>
      <c r="I38" s="21">
        <v>8</v>
      </c>
      <c r="J38" s="1"/>
      <c r="K38" s="1"/>
    </row>
    <row r="39" spans="1:11" ht="87">
      <c r="A39" s="2" t="s">
        <v>127</v>
      </c>
      <c r="B39" s="2" t="s">
        <v>128</v>
      </c>
      <c r="C39" s="2" t="s">
        <v>14</v>
      </c>
      <c r="D39" s="2" t="s">
        <v>15</v>
      </c>
      <c r="E39" s="2" t="s">
        <v>15</v>
      </c>
      <c r="F39" s="2" t="s">
        <v>16</v>
      </c>
      <c r="G39" s="2" t="s">
        <v>69</v>
      </c>
      <c r="H39" s="2" t="s">
        <v>111</v>
      </c>
      <c r="I39" s="21">
        <v>13</v>
      </c>
      <c r="J39" s="1"/>
      <c r="K39" s="1"/>
    </row>
    <row r="40" spans="1:11" ht="87">
      <c r="A40" s="2" t="s">
        <v>129</v>
      </c>
      <c r="B40" s="2" t="s">
        <v>130</v>
      </c>
      <c r="C40" s="2" t="s">
        <v>14</v>
      </c>
      <c r="D40" s="2" t="s">
        <v>15</v>
      </c>
      <c r="E40" s="2" t="s">
        <v>15</v>
      </c>
      <c r="F40" s="2" t="s">
        <v>16</v>
      </c>
      <c r="G40" s="2" t="s">
        <v>69</v>
      </c>
      <c r="H40" s="2" t="s">
        <v>93</v>
      </c>
      <c r="I40" s="21">
        <v>21</v>
      </c>
      <c r="J40" s="1"/>
      <c r="K40" s="1"/>
    </row>
    <row r="41" spans="1:11" ht="72.75">
      <c r="A41" s="2" t="s">
        <v>131</v>
      </c>
      <c r="B41" s="2" t="s">
        <v>132</v>
      </c>
      <c r="C41" s="2" t="s">
        <v>14</v>
      </c>
      <c r="D41" s="2" t="s">
        <v>15</v>
      </c>
      <c r="E41" s="2" t="s">
        <v>15</v>
      </c>
      <c r="F41" s="2" t="s">
        <v>16</v>
      </c>
      <c r="G41" s="2" t="s">
        <v>69</v>
      </c>
      <c r="H41" s="2" t="s">
        <v>93</v>
      </c>
      <c r="I41" s="21">
        <v>21</v>
      </c>
      <c r="J41" s="1"/>
      <c r="K41" s="1"/>
    </row>
    <row r="42" spans="1:11" ht="72.75">
      <c r="A42" s="2" t="s">
        <v>133</v>
      </c>
      <c r="B42" s="2" t="s">
        <v>134</v>
      </c>
      <c r="C42" s="2" t="s">
        <v>14</v>
      </c>
      <c r="D42" s="2" t="s">
        <v>15</v>
      </c>
      <c r="E42" s="2" t="s">
        <v>15</v>
      </c>
      <c r="F42" s="2" t="s">
        <v>16</v>
      </c>
      <c r="G42" s="2" t="s">
        <v>69</v>
      </c>
      <c r="H42" s="2" t="s">
        <v>111</v>
      </c>
      <c r="I42" s="21">
        <v>13</v>
      </c>
      <c r="J42" s="4"/>
      <c r="K42" s="1"/>
    </row>
    <row r="43" spans="1:11" ht="87">
      <c r="A43" s="2" t="s">
        <v>135</v>
      </c>
      <c r="B43" s="2" t="s">
        <v>136</v>
      </c>
      <c r="C43" s="2" t="s">
        <v>14</v>
      </c>
      <c r="D43" s="2" t="s">
        <v>15</v>
      </c>
      <c r="E43" s="2" t="s">
        <v>15</v>
      </c>
      <c r="F43" s="2" t="s">
        <v>16</v>
      </c>
      <c r="G43" s="2" t="s">
        <v>69</v>
      </c>
      <c r="H43" s="2" t="s">
        <v>23</v>
      </c>
      <c r="I43" s="21">
        <v>5</v>
      </c>
      <c r="J43" s="1"/>
      <c r="K43" s="1"/>
    </row>
    <row r="44" spans="1:11" ht="72.75">
      <c r="A44" s="2" t="s">
        <v>137</v>
      </c>
      <c r="B44" s="2" t="s">
        <v>138</v>
      </c>
      <c r="C44" s="2" t="s">
        <v>14</v>
      </c>
      <c r="D44" s="2" t="s">
        <v>15</v>
      </c>
      <c r="E44" s="2" t="s">
        <v>15</v>
      </c>
      <c r="F44" s="2" t="s">
        <v>16</v>
      </c>
      <c r="G44" s="2" t="s">
        <v>69</v>
      </c>
      <c r="H44" s="2" t="s">
        <v>32</v>
      </c>
      <c r="I44" s="21">
        <v>8</v>
      </c>
      <c r="J44" s="1"/>
      <c r="K44" s="1"/>
    </row>
    <row r="45" spans="1:11" ht="101.25">
      <c r="A45" s="2" t="s">
        <v>139</v>
      </c>
      <c r="B45" s="2" t="s">
        <v>140</v>
      </c>
      <c r="C45" s="2" t="s">
        <v>63</v>
      </c>
      <c r="D45" s="2" t="s">
        <v>15</v>
      </c>
      <c r="E45" s="2" t="s">
        <v>15</v>
      </c>
      <c r="F45" s="2" t="s">
        <v>16</v>
      </c>
      <c r="G45" s="2" t="s">
        <v>69</v>
      </c>
      <c r="H45" s="2" t="s">
        <v>111</v>
      </c>
      <c r="I45" s="21">
        <v>13</v>
      </c>
    </row>
    <row r="46" spans="1:11" ht="115.5">
      <c r="A46" s="2" t="s">
        <v>141</v>
      </c>
      <c r="B46" s="2" t="s">
        <v>142</v>
      </c>
      <c r="C46" s="2" t="s">
        <v>63</v>
      </c>
      <c r="D46" s="2" t="s">
        <v>15</v>
      </c>
      <c r="E46" s="2" t="s">
        <v>15</v>
      </c>
      <c r="F46" s="2" t="s">
        <v>16</v>
      </c>
      <c r="G46" s="2" t="s">
        <v>69</v>
      </c>
      <c r="H46" s="2" t="s">
        <v>111</v>
      </c>
      <c r="I46" s="21">
        <v>13</v>
      </c>
      <c r="K46" s="20"/>
    </row>
    <row r="47" spans="1:11" ht="115.5">
      <c r="A47" s="2" t="s">
        <v>143</v>
      </c>
      <c r="B47" s="2" t="s">
        <v>144</v>
      </c>
      <c r="C47" s="2" t="s">
        <v>14</v>
      </c>
      <c r="D47" s="2" t="s">
        <v>15</v>
      </c>
      <c r="E47" s="2" t="s">
        <v>15</v>
      </c>
      <c r="F47" s="2" t="s">
        <v>145</v>
      </c>
      <c r="G47" s="2" t="s">
        <v>69</v>
      </c>
      <c r="H47" s="2" t="s">
        <v>111</v>
      </c>
      <c r="I47" s="21">
        <v>13</v>
      </c>
    </row>
    <row r="48" spans="1:11" ht="72.75">
      <c r="A48" s="2" t="s">
        <v>146</v>
      </c>
      <c r="B48" s="2" t="s">
        <v>147</v>
      </c>
      <c r="C48" s="2" t="s">
        <v>14</v>
      </c>
      <c r="D48" s="2" t="s">
        <v>15</v>
      </c>
      <c r="E48" s="2" t="s">
        <v>15</v>
      </c>
      <c r="F48" s="2" t="s">
        <v>145</v>
      </c>
      <c r="G48" s="2" t="s">
        <v>69</v>
      </c>
      <c r="H48" s="2" t="s">
        <v>111</v>
      </c>
      <c r="I48" s="21">
        <v>13</v>
      </c>
    </row>
    <row r="49" spans="1:11" ht="87">
      <c r="A49" s="37" t="s">
        <v>148</v>
      </c>
      <c r="B49" s="38" t="s">
        <v>149</v>
      </c>
      <c r="C49" s="38" t="s">
        <v>14</v>
      </c>
      <c r="D49" s="38" t="s">
        <v>150</v>
      </c>
      <c r="E49" s="38" t="s">
        <v>151</v>
      </c>
      <c r="F49" s="38" t="s">
        <v>152</v>
      </c>
      <c r="G49" s="38" t="s">
        <v>69</v>
      </c>
      <c r="H49" s="38"/>
      <c r="I49" s="21"/>
    </row>
    <row r="50" spans="1:11" ht="43.5">
      <c r="A50" s="37" t="s">
        <v>153</v>
      </c>
      <c r="B50" s="38" t="s">
        <v>154</v>
      </c>
      <c r="C50" s="38" t="s">
        <v>14</v>
      </c>
      <c r="D50" s="38" t="s">
        <v>150</v>
      </c>
      <c r="E50" s="38" t="s">
        <v>155</v>
      </c>
      <c r="F50" s="38" t="s">
        <v>152</v>
      </c>
      <c r="G50" s="38" t="s">
        <v>69</v>
      </c>
      <c r="H50" s="38"/>
      <c r="I50" s="21"/>
    </row>
    <row r="51" spans="1:11" ht="57.75">
      <c r="A51" s="37" t="s">
        <v>156</v>
      </c>
      <c r="B51" s="38" t="s">
        <v>157</v>
      </c>
      <c r="C51" s="38" t="s">
        <v>14</v>
      </c>
      <c r="D51" s="38" t="s">
        <v>150</v>
      </c>
      <c r="E51" s="38" t="s">
        <v>158</v>
      </c>
      <c r="F51" s="38" t="s">
        <v>152</v>
      </c>
      <c r="G51" s="38" t="s">
        <v>69</v>
      </c>
      <c r="H51" s="38"/>
      <c r="I51" s="21"/>
    </row>
    <row r="52" spans="1:11" ht="57.75">
      <c r="A52" s="37" t="s">
        <v>129</v>
      </c>
      <c r="B52" s="38" t="s">
        <v>159</v>
      </c>
      <c r="C52" s="38" t="s">
        <v>14</v>
      </c>
      <c r="D52" s="38" t="s">
        <v>150</v>
      </c>
      <c r="E52" s="38" t="s">
        <v>160</v>
      </c>
      <c r="F52" s="38" t="s">
        <v>152</v>
      </c>
      <c r="G52" s="38" t="s">
        <v>69</v>
      </c>
      <c r="H52" s="38"/>
      <c r="I52" s="21"/>
    </row>
    <row r="53" spans="1:11" ht="43.5">
      <c r="A53" s="37" t="s">
        <v>161</v>
      </c>
      <c r="B53" s="38" t="s">
        <v>162</v>
      </c>
      <c r="C53" s="38" t="s">
        <v>63</v>
      </c>
      <c r="D53" s="38" t="s">
        <v>150</v>
      </c>
      <c r="E53" s="38" t="s">
        <v>163</v>
      </c>
      <c r="F53" s="38" t="s">
        <v>152</v>
      </c>
      <c r="G53" s="38" t="s">
        <v>69</v>
      </c>
      <c r="H53" s="38"/>
      <c r="I53" s="21"/>
    </row>
    <row r="54" spans="1:11" ht="57.75">
      <c r="A54" s="37" t="s">
        <v>164</v>
      </c>
      <c r="B54" s="38" t="s">
        <v>165</v>
      </c>
      <c r="C54" s="38" t="s">
        <v>14</v>
      </c>
      <c r="D54" s="38" t="s">
        <v>166</v>
      </c>
      <c r="E54" s="38" t="s">
        <v>166</v>
      </c>
      <c r="F54" s="38" t="s">
        <v>16</v>
      </c>
      <c r="G54" s="38" t="s">
        <v>69</v>
      </c>
      <c r="H54" s="38"/>
      <c r="I54" s="22"/>
    </row>
    <row r="55" spans="1:11" ht="43.5">
      <c r="A55" s="37" t="s">
        <v>167</v>
      </c>
      <c r="B55" s="38" t="s">
        <v>162</v>
      </c>
      <c r="C55" s="38" t="s">
        <v>14</v>
      </c>
      <c r="D55" s="38" t="s">
        <v>150</v>
      </c>
      <c r="E55" s="38" t="s">
        <v>168</v>
      </c>
      <c r="F55" s="38" t="s">
        <v>152</v>
      </c>
      <c r="G55" s="38" t="s">
        <v>69</v>
      </c>
      <c r="H55" s="38"/>
      <c r="I55" s="21"/>
      <c r="K55" s="23"/>
    </row>
    <row r="56" spans="1:11" ht="43.5">
      <c r="A56" s="37" t="s">
        <v>169</v>
      </c>
      <c r="B56" s="38" t="s">
        <v>170</v>
      </c>
      <c r="C56" s="38" t="s">
        <v>14</v>
      </c>
      <c r="D56" s="38" t="s">
        <v>150</v>
      </c>
      <c r="E56" s="38" t="s">
        <v>168</v>
      </c>
      <c r="F56" s="38" t="s">
        <v>152</v>
      </c>
      <c r="G56" s="38" t="s">
        <v>69</v>
      </c>
      <c r="H56" s="38"/>
      <c r="I56" s="21"/>
    </row>
    <row r="57" spans="1:11" ht="57.75">
      <c r="A57" s="37" t="s">
        <v>171</v>
      </c>
      <c r="B57" s="38" t="s">
        <v>172</v>
      </c>
      <c r="C57" s="38" t="s">
        <v>14</v>
      </c>
      <c r="D57" s="38" t="s">
        <v>150</v>
      </c>
      <c r="E57" s="38" t="s">
        <v>173</v>
      </c>
      <c r="F57" s="38" t="s">
        <v>152</v>
      </c>
      <c r="G57" s="38" t="s">
        <v>69</v>
      </c>
      <c r="H57" s="38"/>
      <c r="I57" s="21"/>
    </row>
    <row r="58" spans="1:11" ht="130.5">
      <c r="A58" s="37" t="s">
        <v>174</v>
      </c>
      <c r="B58" s="38" t="s">
        <v>175</v>
      </c>
      <c r="C58" s="38" t="s">
        <v>14</v>
      </c>
      <c r="D58" s="38" t="s">
        <v>150</v>
      </c>
      <c r="E58" s="38" t="s">
        <v>173</v>
      </c>
      <c r="F58" s="38" t="s">
        <v>152</v>
      </c>
      <c r="G58" s="38" t="s">
        <v>69</v>
      </c>
      <c r="H58" s="38"/>
      <c r="I58" s="21"/>
    </row>
    <row r="59" spans="1:11" ht="43.5">
      <c r="A59" s="37" t="s">
        <v>176</v>
      </c>
      <c r="B59" s="38" t="s">
        <v>177</v>
      </c>
      <c r="C59" s="38" t="s">
        <v>14</v>
      </c>
      <c r="D59" s="38" t="s">
        <v>150</v>
      </c>
      <c r="E59" s="38" t="s">
        <v>158</v>
      </c>
      <c r="F59" s="38" t="s">
        <v>152</v>
      </c>
      <c r="G59" s="38" t="s">
        <v>69</v>
      </c>
      <c r="H59" s="38"/>
      <c r="I59" s="21"/>
    </row>
    <row r="60" spans="1:11" ht="43.5">
      <c r="A60" s="37" t="s">
        <v>178</v>
      </c>
      <c r="B60" s="38" t="s">
        <v>179</v>
      </c>
      <c r="C60" s="38" t="s">
        <v>14</v>
      </c>
      <c r="D60" s="38" t="s">
        <v>150</v>
      </c>
      <c r="E60" s="38" t="s">
        <v>163</v>
      </c>
      <c r="F60" s="38" t="s">
        <v>152</v>
      </c>
      <c r="G60" s="38" t="s">
        <v>69</v>
      </c>
      <c r="H60" s="38"/>
      <c r="I60" s="22"/>
    </row>
    <row r="61" spans="1:11" ht="144.75">
      <c r="A61" s="2" t="s">
        <v>180</v>
      </c>
      <c r="B61" s="33" t="s">
        <v>181</v>
      </c>
      <c r="C61" s="2" t="s">
        <v>14</v>
      </c>
      <c r="D61" s="2" t="s">
        <v>15</v>
      </c>
      <c r="E61" s="2" t="s">
        <v>15</v>
      </c>
      <c r="F61" s="2" t="s">
        <v>182</v>
      </c>
      <c r="G61" s="2" t="s">
        <v>183</v>
      </c>
      <c r="H61" s="2" t="s">
        <v>111</v>
      </c>
      <c r="I61" s="21">
        <v>13</v>
      </c>
    </row>
    <row r="62" spans="1:11" ht="101.25">
      <c r="A62" s="2" t="s">
        <v>184</v>
      </c>
      <c r="B62" s="2" t="s">
        <v>185</v>
      </c>
      <c r="C62" s="2" t="s">
        <v>14</v>
      </c>
      <c r="D62" s="2" t="s">
        <v>15</v>
      </c>
      <c r="E62" s="2" t="s">
        <v>15</v>
      </c>
      <c r="F62" s="2" t="s">
        <v>186</v>
      </c>
      <c r="G62" s="2" t="s">
        <v>183</v>
      </c>
      <c r="H62" s="2" t="s">
        <v>93</v>
      </c>
      <c r="I62" s="22">
        <v>21</v>
      </c>
    </row>
    <row r="63" spans="1:11" ht="87">
      <c r="A63" s="2" t="s">
        <v>187</v>
      </c>
      <c r="B63" s="2" t="s">
        <v>188</v>
      </c>
      <c r="C63" s="2" t="s">
        <v>14</v>
      </c>
      <c r="D63" s="2" t="s">
        <v>15</v>
      </c>
      <c r="E63" s="2" t="s">
        <v>15</v>
      </c>
      <c r="F63" s="2" t="s">
        <v>182</v>
      </c>
      <c r="G63" s="2" t="s">
        <v>183</v>
      </c>
      <c r="H63" s="2" t="s">
        <v>111</v>
      </c>
      <c r="I63" s="22">
        <v>13</v>
      </c>
    </row>
    <row r="64" spans="1:11" ht="144.75">
      <c r="A64" s="2" t="s">
        <v>189</v>
      </c>
      <c r="B64" s="2" t="s">
        <v>190</v>
      </c>
      <c r="C64" s="2" t="s">
        <v>14</v>
      </c>
      <c r="D64" s="2" t="s">
        <v>15</v>
      </c>
      <c r="E64" s="2" t="s">
        <v>15</v>
      </c>
      <c r="F64" s="2" t="s">
        <v>191</v>
      </c>
      <c r="G64" s="2" t="s">
        <v>183</v>
      </c>
      <c r="H64" s="2" t="s">
        <v>32</v>
      </c>
      <c r="I64" s="22">
        <v>8</v>
      </c>
    </row>
    <row r="65" spans="1:9" ht="101.25">
      <c r="A65" s="2" t="s">
        <v>192</v>
      </c>
      <c r="B65" s="2" t="s">
        <v>193</v>
      </c>
      <c r="C65" s="2" t="s">
        <v>63</v>
      </c>
      <c r="D65" s="2" t="s">
        <v>15</v>
      </c>
      <c r="E65" s="2" t="s">
        <v>15</v>
      </c>
      <c r="F65" s="2" t="s">
        <v>191</v>
      </c>
      <c r="G65" s="2" t="s">
        <v>183</v>
      </c>
      <c r="H65" s="2" t="s">
        <v>32</v>
      </c>
      <c r="I65" s="22">
        <v>8</v>
      </c>
    </row>
    <row r="66" spans="1:9" ht="57.75">
      <c r="A66" s="2" t="s">
        <v>194</v>
      </c>
      <c r="B66" s="2" t="s">
        <v>195</v>
      </c>
      <c r="C66" s="2" t="s">
        <v>63</v>
      </c>
      <c r="D66" s="2" t="s">
        <v>15</v>
      </c>
      <c r="E66" s="2" t="s">
        <v>15</v>
      </c>
      <c r="F66" s="2" t="s">
        <v>191</v>
      </c>
      <c r="G66" s="2" t="s">
        <v>183</v>
      </c>
      <c r="H66" s="2" t="s">
        <v>32</v>
      </c>
      <c r="I66" s="22">
        <v>8</v>
      </c>
    </row>
    <row r="67" spans="1:9" ht="101.25">
      <c r="A67" s="2" t="s">
        <v>196</v>
      </c>
      <c r="B67" s="2" t="s">
        <v>197</v>
      </c>
      <c r="C67" s="2" t="s">
        <v>14</v>
      </c>
      <c r="D67" s="2" t="s">
        <v>15</v>
      </c>
      <c r="E67" s="2" t="s">
        <v>15</v>
      </c>
      <c r="F67" s="2" t="s">
        <v>182</v>
      </c>
      <c r="G67" s="2" t="s">
        <v>183</v>
      </c>
      <c r="H67" s="2" t="s">
        <v>111</v>
      </c>
      <c r="I67" s="22">
        <v>13</v>
      </c>
    </row>
  </sheetData>
  <conditionalFormatting sqref="A81:G1048576">
    <cfRule type="expression" dxfId="50" priority="49">
      <formula>$G81="SPT1"</formula>
    </cfRule>
  </conditionalFormatting>
  <conditionalFormatting sqref="A81:G1048576">
    <cfRule type="expression" dxfId="49" priority="48">
      <formula>$G81="SPT2"</formula>
    </cfRule>
  </conditionalFormatting>
  <conditionalFormatting sqref="A81:G1048576">
    <cfRule type="expression" dxfId="48" priority="45">
      <formula>$G81="SPT3"</formula>
    </cfRule>
  </conditionalFormatting>
  <conditionalFormatting sqref="C81:C1048576">
    <cfRule type="expression" dxfId="47" priority="44">
      <formula>$C81 = "Essencial"</formula>
    </cfRule>
  </conditionalFormatting>
  <conditionalFormatting sqref="C81:C1048576">
    <cfRule type="expression" dxfId="46" priority="43">
      <formula>$C81 = "Importante"</formula>
    </cfRule>
  </conditionalFormatting>
  <conditionalFormatting sqref="C81:C1048576">
    <cfRule type="expression" dxfId="45" priority="42">
      <formula>$C81="Desejável"</formula>
    </cfRule>
  </conditionalFormatting>
  <conditionalFormatting sqref="H81:H1048576">
    <cfRule type="expression" dxfId="44" priority="39">
      <formula>$H81 = "P"</formula>
    </cfRule>
  </conditionalFormatting>
  <conditionalFormatting sqref="H81:H1048576">
    <cfRule type="expression" dxfId="43" priority="40">
      <formula>$H81 = "PP"</formula>
    </cfRule>
  </conditionalFormatting>
  <conditionalFormatting sqref="H81:H1048576">
    <cfRule type="expression" dxfId="42" priority="38">
      <formula>$H81="M"</formula>
    </cfRule>
  </conditionalFormatting>
  <conditionalFormatting sqref="H81:H1048576">
    <cfRule type="expression" dxfId="41" priority="37">
      <formula>$H81 = "G"</formula>
    </cfRule>
  </conditionalFormatting>
  <conditionalFormatting sqref="H81:H1048576">
    <cfRule type="expression" dxfId="40" priority="36">
      <formula>$H81 = "GG"</formula>
    </cfRule>
  </conditionalFormatting>
  <conditionalFormatting sqref="I81:I1048576">
    <cfRule type="expression" dxfId="39" priority="30">
      <formula>$I81 = 3</formula>
    </cfRule>
  </conditionalFormatting>
  <conditionalFormatting sqref="I81:I1048576">
    <cfRule type="expression" dxfId="38" priority="29">
      <formula>$I81 = 5</formula>
    </cfRule>
  </conditionalFormatting>
  <conditionalFormatting sqref="I81:I1048576">
    <cfRule type="expression" dxfId="37" priority="28">
      <formula>$I81=8</formula>
    </cfRule>
  </conditionalFormatting>
  <conditionalFormatting sqref="I81:I1048576">
    <cfRule type="expression" dxfId="36" priority="27">
      <formula>$I81 = 13</formula>
    </cfRule>
  </conditionalFormatting>
  <conditionalFormatting sqref="I81:I1048576">
    <cfRule type="expression" dxfId="35" priority="26">
      <formula>$I81 = 21</formula>
    </cfRule>
  </conditionalFormatting>
  <conditionalFormatting sqref="A1:G48 A49:I60 A61:G80">
    <cfRule type="expression" dxfId="34" priority="21">
      <formula>$G1="SPT1"</formula>
    </cfRule>
  </conditionalFormatting>
  <conditionalFormatting sqref="A1:G48 A49:I60 A61:G80">
    <cfRule type="expression" dxfId="33" priority="20">
      <formula>$G1="SPT2"</formula>
    </cfRule>
  </conditionalFormatting>
  <conditionalFormatting sqref="A1:G80">
    <cfRule type="expression" dxfId="32" priority="19">
      <formula>$G1="SPT3"</formula>
    </cfRule>
  </conditionalFormatting>
  <conditionalFormatting sqref="B45:G45">
    <cfRule type="expression" dxfId="31" priority="22">
      <formula>#REF!="SPT1"</formula>
    </cfRule>
  </conditionalFormatting>
  <conditionalFormatting sqref="B45:G45">
    <cfRule type="expression" dxfId="30" priority="23">
      <formula>#REF!="SPT2"</formula>
    </cfRule>
  </conditionalFormatting>
  <conditionalFormatting sqref="B45:G45">
    <cfRule type="expression" dxfId="29" priority="24">
      <formula>#REF!="SPT3"</formula>
    </cfRule>
  </conditionalFormatting>
  <conditionalFormatting sqref="C1:C80">
    <cfRule type="expression" dxfId="28" priority="18">
      <formula>$C1 = "Essencial"</formula>
    </cfRule>
  </conditionalFormatting>
  <conditionalFormatting sqref="C1:C80">
    <cfRule type="expression" dxfId="27" priority="17">
      <formula>$C1 = "Importante"</formula>
    </cfRule>
  </conditionalFormatting>
  <conditionalFormatting sqref="C1:C80">
    <cfRule type="expression" dxfId="26" priority="16">
      <formula>$C1="Desejável"</formula>
    </cfRule>
  </conditionalFormatting>
  <conditionalFormatting sqref="H1:H80">
    <cfRule type="expression" dxfId="25" priority="14">
      <formula>$H1 = "P"</formula>
    </cfRule>
  </conditionalFormatting>
  <conditionalFormatting sqref="H1:H80">
    <cfRule type="expression" dxfId="24" priority="15">
      <formula>$H1 = "PP"</formula>
    </cfRule>
  </conditionalFormatting>
  <conditionalFormatting sqref="H1:H80">
    <cfRule type="expression" dxfId="23" priority="13">
      <formula>$H1="M"</formula>
    </cfRule>
  </conditionalFormatting>
  <conditionalFormatting sqref="H1:H80">
    <cfRule type="expression" dxfId="22" priority="12">
      <formula>$H1 = "G"</formula>
    </cfRule>
  </conditionalFormatting>
  <conditionalFormatting sqref="H1:H80">
    <cfRule type="expression" dxfId="21" priority="11">
      <formula>$H1 = "GG"</formula>
    </cfRule>
  </conditionalFormatting>
  <conditionalFormatting sqref="I1">
    <cfRule type="expression" dxfId="20" priority="9">
      <formula>$H1 = "P"</formula>
    </cfRule>
  </conditionalFormatting>
  <conditionalFormatting sqref="I1">
    <cfRule type="expression" dxfId="19" priority="10">
      <formula>$H1 = "PP"</formula>
    </cfRule>
  </conditionalFormatting>
  <conditionalFormatting sqref="I1">
    <cfRule type="expression" dxfId="18" priority="8">
      <formula>$H1="M"</formula>
    </cfRule>
  </conditionalFormatting>
  <conditionalFormatting sqref="I1">
    <cfRule type="expression" dxfId="17" priority="7">
      <formula>$H1 = "G"</formula>
    </cfRule>
  </conditionalFormatting>
  <conditionalFormatting sqref="I1">
    <cfRule type="expression" dxfId="16" priority="6">
      <formula>$H1 = "GG"</formula>
    </cfRule>
  </conditionalFormatting>
  <conditionalFormatting sqref="I1:I80">
    <cfRule type="expression" dxfId="15" priority="5">
      <formula>$I1 = 3</formula>
    </cfRule>
  </conditionalFormatting>
  <conditionalFormatting sqref="I1:I80">
    <cfRule type="expression" dxfId="14" priority="4">
      <formula>$I1 = 5</formula>
    </cfRule>
  </conditionalFormatting>
  <conditionalFormatting sqref="I1:I80">
    <cfRule type="expression" dxfId="13" priority="3">
      <formula>$I1=8</formula>
    </cfRule>
  </conditionalFormatting>
  <conditionalFormatting sqref="I1:I80">
    <cfRule type="expression" dxfId="12" priority="2">
      <formula>$I1 = 13</formula>
    </cfRule>
  </conditionalFormatting>
  <conditionalFormatting sqref="I1:I80">
    <cfRule type="expression" dxfId="11" priority="1">
      <formula>$I1 = 21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241D-4530-4F90-93FE-E928000CD4BD}">
  <dimension ref="A2:G276"/>
  <sheetViews>
    <sheetView tabSelected="1" topLeftCell="B1" workbookViewId="0">
      <selection activeCell="B2" sqref="B2"/>
    </sheetView>
  </sheetViews>
  <sheetFormatPr defaultColWidth="34.7109375" defaultRowHeight="15"/>
  <cols>
    <col min="1" max="5" width="34.7109375" style="1" customWidth="1"/>
    <col min="6" max="6" width="18.7109375" style="1" customWidth="1"/>
    <col min="7" max="7" width="12" style="1" customWidth="1"/>
    <col min="8" max="8" width="34.7109375" style="1" customWidth="1"/>
    <col min="9" max="16384" width="34.7109375" style="1"/>
  </cols>
  <sheetData>
    <row r="2" spans="2:7">
      <c r="B2" s="25" t="s">
        <v>6</v>
      </c>
      <c r="C2" s="25" t="s">
        <v>0</v>
      </c>
      <c r="D2" s="25" t="s">
        <v>1</v>
      </c>
      <c r="E2" s="25" t="s">
        <v>2</v>
      </c>
      <c r="F2" s="25" t="s">
        <v>4</v>
      </c>
      <c r="G2" s="25" t="s">
        <v>7</v>
      </c>
    </row>
    <row r="3" spans="2:7" ht="60.75">
      <c r="B3" s="1" t="s">
        <v>183</v>
      </c>
      <c r="C3" s="1" t="s">
        <v>194</v>
      </c>
      <c r="D3" s="1" t="s">
        <v>195</v>
      </c>
      <c r="E3" s="1" t="s">
        <v>63</v>
      </c>
      <c r="F3" s="1" t="s">
        <v>15</v>
      </c>
      <c r="G3" s="1" t="s">
        <v>32</v>
      </c>
    </row>
    <row r="4" spans="2:7" ht="76.5">
      <c r="C4" s="1" t="s">
        <v>192</v>
      </c>
      <c r="D4" s="1" t="s">
        <v>193</v>
      </c>
      <c r="E4" s="1" t="s">
        <v>63</v>
      </c>
      <c r="F4" s="1" t="s">
        <v>15</v>
      </c>
      <c r="G4" s="1" t="s">
        <v>32</v>
      </c>
    </row>
    <row r="5" spans="2:7" ht="60.75">
      <c r="C5" s="1" t="s">
        <v>187</v>
      </c>
      <c r="D5" s="1" t="s">
        <v>188</v>
      </c>
      <c r="E5" s="1" t="s">
        <v>14</v>
      </c>
      <c r="F5" s="1" t="s">
        <v>15</v>
      </c>
      <c r="G5" s="1" t="s">
        <v>111</v>
      </c>
    </row>
    <row r="6" spans="2:7" ht="76.5">
      <c r="C6" s="1" t="s">
        <v>184</v>
      </c>
      <c r="D6" s="1" t="s">
        <v>185</v>
      </c>
      <c r="E6" s="1" t="s">
        <v>14</v>
      </c>
      <c r="F6" s="1" t="s">
        <v>15</v>
      </c>
      <c r="G6" s="1" t="s">
        <v>93</v>
      </c>
    </row>
    <row r="7" spans="2:7" ht="106.5">
      <c r="C7" s="1" t="s">
        <v>180</v>
      </c>
      <c r="D7" s="1" t="s">
        <v>181</v>
      </c>
      <c r="E7" s="1" t="s">
        <v>14</v>
      </c>
      <c r="F7" s="1" t="s">
        <v>15</v>
      </c>
      <c r="G7" s="1" t="s">
        <v>111</v>
      </c>
    </row>
    <row r="8" spans="2:7" ht="91.5">
      <c r="C8" s="1" t="s">
        <v>189</v>
      </c>
      <c r="D8" s="1" t="s">
        <v>190</v>
      </c>
      <c r="E8" s="1" t="s">
        <v>14</v>
      </c>
      <c r="F8" s="1" t="s">
        <v>15</v>
      </c>
      <c r="G8" s="1" t="s">
        <v>32</v>
      </c>
    </row>
    <row r="9" spans="2:7" ht="76.5">
      <c r="C9" s="1" t="s">
        <v>196</v>
      </c>
      <c r="D9" s="1" t="s">
        <v>198</v>
      </c>
      <c r="E9" s="1" t="s">
        <v>14</v>
      </c>
      <c r="F9" s="1" t="s">
        <v>15</v>
      </c>
      <c r="G9" s="1" t="s">
        <v>111</v>
      </c>
    </row>
    <row r="10" spans="2:7">
      <c r="B10"/>
      <c r="C10"/>
      <c r="D10"/>
      <c r="E10"/>
      <c r="F10"/>
      <c r="G10"/>
    </row>
    <row r="11" spans="2:7">
      <c r="B11"/>
      <c r="C11"/>
      <c r="D11"/>
      <c r="E11"/>
      <c r="F11"/>
      <c r="G11"/>
    </row>
    <row r="12" spans="2:7">
      <c r="B12"/>
      <c r="C12"/>
      <c r="D12"/>
      <c r="E12"/>
      <c r="F12"/>
      <c r="G12"/>
    </row>
    <row r="13" spans="2:7">
      <c r="B13"/>
      <c r="C13"/>
      <c r="D13"/>
      <c r="E13"/>
      <c r="F13"/>
      <c r="G13"/>
    </row>
    <row r="14" spans="2:7">
      <c r="B14"/>
      <c r="C14"/>
      <c r="D14"/>
      <c r="E14"/>
      <c r="F14"/>
      <c r="G14"/>
    </row>
    <row r="15" spans="2:7">
      <c r="B15"/>
      <c r="C15"/>
      <c r="D15"/>
      <c r="E15"/>
      <c r="F15"/>
      <c r="G15"/>
    </row>
    <row r="16" spans="2:7">
      <c r="B16"/>
      <c r="C16"/>
      <c r="D16"/>
      <c r="E16"/>
      <c r="F16"/>
      <c r="G16"/>
    </row>
    <row r="17" spans="2:7">
      <c r="B17"/>
      <c r="C17"/>
      <c r="D17"/>
      <c r="E17"/>
      <c r="F17"/>
      <c r="G17"/>
    </row>
    <row r="18" spans="2:7">
      <c r="B18"/>
      <c r="C18"/>
      <c r="D18"/>
      <c r="E18"/>
      <c r="F18"/>
      <c r="G18"/>
    </row>
    <row r="19" spans="2:7">
      <c r="B19"/>
      <c r="C19"/>
      <c r="D19"/>
      <c r="E19"/>
      <c r="F19"/>
      <c r="G19"/>
    </row>
    <row r="20" spans="2:7">
      <c r="B20"/>
      <c r="C20"/>
      <c r="D20"/>
      <c r="E20"/>
      <c r="F20"/>
      <c r="G20"/>
    </row>
    <row r="21" spans="2:7">
      <c r="B21"/>
      <c r="C21"/>
      <c r="D21"/>
      <c r="E21"/>
      <c r="F21"/>
      <c r="G21"/>
    </row>
    <row r="22" spans="2:7">
      <c r="B22"/>
      <c r="C22"/>
      <c r="D22"/>
      <c r="E22"/>
      <c r="F22"/>
      <c r="G22"/>
    </row>
    <row r="23" spans="2:7">
      <c r="B23"/>
      <c r="C23"/>
      <c r="D23"/>
      <c r="E23"/>
      <c r="F23"/>
      <c r="G23"/>
    </row>
    <row r="24" spans="2:7">
      <c r="B24"/>
      <c r="C24"/>
      <c r="D24"/>
      <c r="E24"/>
      <c r="F24"/>
      <c r="G24"/>
    </row>
    <row r="25" spans="2:7">
      <c r="B25"/>
      <c r="C25"/>
      <c r="D25"/>
      <c r="E25"/>
      <c r="F25"/>
      <c r="G25"/>
    </row>
    <row r="26" spans="2:7">
      <c r="B26"/>
      <c r="C26"/>
      <c r="D26"/>
      <c r="E26"/>
      <c r="F26"/>
      <c r="G26"/>
    </row>
    <row r="27" spans="2:7">
      <c r="B27"/>
      <c r="C27"/>
      <c r="D27"/>
      <c r="E27"/>
      <c r="F27"/>
      <c r="G27"/>
    </row>
    <row r="28" spans="2:7">
      <c r="B28"/>
      <c r="C28"/>
      <c r="D28"/>
      <c r="E28"/>
      <c r="F28"/>
      <c r="G28"/>
    </row>
    <row r="29" spans="2:7">
      <c r="B29"/>
      <c r="C29"/>
      <c r="D29"/>
      <c r="E29"/>
      <c r="F29"/>
      <c r="G29"/>
    </row>
    <row r="30" spans="2:7">
      <c r="B30"/>
      <c r="C30"/>
      <c r="D30"/>
      <c r="E30"/>
      <c r="F30"/>
      <c r="G30"/>
    </row>
    <row r="31" spans="2:7">
      <c r="B31"/>
      <c r="C31"/>
      <c r="D31"/>
      <c r="E31"/>
      <c r="F31"/>
      <c r="G31"/>
    </row>
    <row r="32" spans="2:7">
      <c r="B32"/>
      <c r="C32"/>
      <c r="D32"/>
      <c r="E32"/>
      <c r="F32"/>
      <c r="G32"/>
    </row>
    <row r="33" spans="2:7">
      <c r="B33"/>
      <c r="C33"/>
      <c r="D33"/>
      <c r="E33"/>
      <c r="F33"/>
      <c r="G33"/>
    </row>
    <row r="34" spans="2:7">
      <c r="B34" s="26"/>
      <c r="C34" s="26"/>
      <c r="D34" s="26"/>
      <c r="E34" s="26"/>
      <c r="F34" s="26"/>
      <c r="G34" s="26"/>
    </row>
    <row r="35" spans="2:7">
      <c r="B35" s="26"/>
      <c r="C35" s="26"/>
      <c r="D35" s="26"/>
      <c r="E35" s="26"/>
      <c r="F35" s="26"/>
      <c r="G35" s="26"/>
    </row>
    <row r="36" spans="2:7">
      <c r="B36" s="26"/>
      <c r="C36" s="26"/>
      <c r="D36" s="26"/>
      <c r="E36" s="26"/>
      <c r="F36" s="26"/>
      <c r="G36" s="26"/>
    </row>
    <row r="37" spans="2:7">
      <c r="B37" s="26"/>
      <c r="C37" s="26"/>
      <c r="D37" s="26"/>
      <c r="E37" s="26"/>
      <c r="F37" s="26"/>
      <c r="G37" s="26"/>
    </row>
    <row r="38" spans="2:7">
      <c r="B38" s="26"/>
      <c r="C38" s="26"/>
      <c r="D38" s="26"/>
      <c r="E38" s="26"/>
      <c r="F38" s="26"/>
      <c r="G38" s="26"/>
    </row>
    <row r="39" spans="2:7">
      <c r="B39" s="26"/>
      <c r="C39" s="26"/>
      <c r="D39" s="26"/>
      <c r="E39" s="26"/>
      <c r="F39" s="26"/>
      <c r="G39" s="26"/>
    </row>
    <row r="40" spans="2:7">
      <c r="B40" s="26"/>
      <c r="C40" s="26"/>
      <c r="D40" s="26"/>
      <c r="E40" s="26"/>
      <c r="F40" s="26"/>
      <c r="G40" s="26"/>
    </row>
    <row r="41" spans="2:7">
      <c r="B41" s="26"/>
      <c r="C41" s="26"/>
      <c r="D41" s="26"/>
      <c r="E41" s="26"/>
      <c r="F41" s="26"/>
      <c r="G41" s="26"/>
    </row>
    <row r="42" spans="2:7">
      <c r="B42" s="26"/>
      <c r="C42" s="26"/>
      <c r="D42" s="26"/>
      <c r="E42" s="26"/>
      <c r="F42" s="26"/>
      <c r="G42" s="26"/>
    </row>
    <row r="43" spans="2:7">
      <c r="B43" s="26"/>
      <c r="C43" s="26"/>
      <c r="D43" s="26"/>
      <c r="E43" s="26"/>
      <c r="F43" s="26"/>
      <c r="G43" s="26"/>
    </row>
    <row r="44" spans="2:7">
      <c r="B44" s="26"/>
      <c r="C44" s="26"/>
      <c r="D44" s="26"/>
      <c r="E44" s="26"/>
      <c r="F44" s="26"/>
      <c r="G44" s="26"/>
    </row>
    <row r="45" spans="2:7">
      <c r="B45" s="26"/>
      <c r="C45" s="26"/>
      <c r="D45" s="26"/>
      <c r="E45" s="26"/>
      <c r="F45" s="26"/>
      <c r="G45" s="26"/>
    </row>
    <row r="46" spans="2:7">
      <c r="B46" s="26"/>
      <c r="C46" s="26"/>
      <c r="D46" s="26"/>
      <c r="E46" s="26"/>
      <c r="F46" s="26"/>
      <c r="G46" s="26"/>
    </row>
    <row r="47" spans="2:7">
      <c r="B47" s="26"/>
      <c r="C47" s="26"/>
      <c r="D47" s="26"/>
      <c r="E47" s="26"/>
      <c r="F47" s="26"/>
      <c r="G47" s="26"/>
    </row>
    <row r="48" spans="2:7">
      <c r="B48" s="26"/>
      <c r="C48" s="26"/>
      <c r="D48" s="26"/>
      <c r="E48" s="26"/>
      <c r="F48" s="26"/>
      <c r="G48" s="26"/>
    </row>
    <row r="49" spans="1:7">
      <c r="B49" s="26"/>
      <c r="C49" s="26"/>
      <c r="D49" s="26"/>
      <c r="E49" s="26"/>
      <c r="F49" s="26"/>
      <c r="G49" s="26"/>
    </row>
    <row r="50" spans="1:7">
      <c r="B50" s="26"/>
      <c r="C50" s="26"/>
      <c r="D50" s="26"/>
      <c r="E50" s="26"/>
      <c r="F50" s="26"/>
      <c r="G50" s="26"/>
    </row>
    <row r="51" spans="1:7">
      <c r="B51" s="26"/>
      <c r="C51" s="26"/>
      <c r="D51" s="26"/>
      <c r="E51" s="26"/>
      <c r="F51" s="26"/>
      <c r="G51" s="26"/>
    </row>
    <row r="52" spans="1:7">
      <c r="B52" s="26"/>
      <c r="C52" s="26"/>
      <c r="D52" s="26"/>
      <c r="E52" s="26"/>
      <c r="F52" s="26"/>
      <c r="G52" s="26"/>
    </row>
    <row r="53" spans="1:7">
      <c r="B53" s="26"/>
      <c r="C53" s="26"/>
      <c r="D53" s="26"/>
      <c r="E53" s="26"/>
      <c r="F53" s="26"/>
      <c r="G53" s="26"/>
    </row>
    <row r="54" spans="1:7">
      <c r="B54" s="26"/>
      <c r="C54" s="26"/>
      <c r="D54" s="26"/>
      <c r="E54" s="26"/>
      <c r="F54" s="26"/>
      <c r="G54" s="26"/>
    </row>
    <row r="55" spans="1:7">
      <c r="B55" s="26"/>
      <c r="C55" s="26"/>
      <c r="D55" s="26"/>
      <c r="E55" s="26"/>
      <c r="F55" s="26"/>
      <c r="G55" s="26"/>
    </row>
    <row r="56" spans="1:7">
      <c r="B56" s="26"/>
      <c r="C56" s="26"/>
      <c r="D56" s="26"/>
      <c r="E56" s="26"/>
      <c r="F56" s="26"/>
      <c r="G56" s="26"/>
    </row>
    <row r="57" spans="1:7">
      <c r="A57" s="26"/>
      <c r="B57" s="26"/>
      <c r="C57" s="26"/>
      <c r="D57" s="26"/>
      <c r="E57" s="26"/>
      <c r="F57" s="26"/>
    </row>
    <row r="58" spans="1:7">
      <c r="A58" s="26"/>
      <c r="B58" s="26"/>
      <c r="C58" s="26"/>
      <c r="D58" s="26"/>
      <c r="E58" s="26"/>
      <c r="F58" s="26"/>
    </row>
    <row r="59" spans="1:7">
      <c r="A59" s="26"/>
      <c r="B59" s="26"/>
      <c r="C59" s="26"/>
      <c r="D59" s="26"/>
      <c r="E59" s="26"/>
      <c r="F59" s="26"/>
    </row>
    <row r="60" spans="1:7">
      <c r="A60" s="26"/>
      <c r="B60" s="26"/>
      <c r="C60" s="26"/>
      <c r="D60" s="26"/>
      <c r="E60" s="26"/>
      <c r="F60" s="26"/>
    </row>
    <row r="61" spans="1:7">
      <c r="A61" s="26"/>
      <c r="B61" s="26"/>
      <c r="C61" s="26"/>
      <c r="D61" s="26"/>
      <c r="E61" s="26"/>
      <c r="F61" s="26"/>
    </row>
    <row r="62" spans="1:7">
      <c r="A62" s="26"/>
      <c r="B62" s="26"/>
      <c r="C62" s="26"/>
      <c r="D62" s="26"/>
      <c r="E62" s="26"/>
      <c r="F62" s="26"/>
    </row>
    <row r="63" spans="1:7">
      <c r="A63" s="26"/>
      <c r="B63" s="26"/>
      <c r="C63" s="26"/>
      <c r="D63" s="26"/>
      <c r="E63" s="26"/>
      <c r="F63" s="26"/>
    </row>
    <row r="64" spans="1:7">
      <c r="A64" s="26"/>
      <c r="B64" s="26"/>
      <c r="C64" s="26"/>
      <c r="D64" s="26"/>
      <c r="E64" s="26"/>
      <c r="F64" s="26"/>
    </row>
    <row r="65" spans="1:6">
      <c r="A65" s="26"/>
      <c r="B65" s="26"/>
      <c r="C65" s="26"/>
      <c r="D65" s="26"/>
      <c r="E65" s="26"/>
      <c r="F65" s="26"/>
    </row>
    <row r="66" spans="1:6">
      <c r="A66" s="26"/>
      <c r="B66" s="26"/>
      <c r="C66" s="26"/>
      <c r="D66" s="26"/>
      <c r="E66" s="26"/>
      <c r="F66" s="26"/>
    </row>
    <row r="67" spans="1:6">
      <c r="A67" s="26"/>
      <c r="B67" s="26"/>
      <c r="C67" s="26"/>
      <c r="D67" s="26"/>
      <c r="E67" s="26"/>
      <c r="F67" s="26"/>
    </row>
    <row r="68" spans="1:6">
      <c r="A68" s="26"/>
      <c r="B68" s="26"/>
      <c r="C68" s="26"/>
      <c r="D68" s="26"/>
      <c r="E68" s="26"/>
      <c r="F68" s="26"/>
    </row>
    <row r="69" spans="1:6">
      <c r="A69" s="26"/>
      <c r="B69" s="26"/>
      <c r="C69" s="26"/>
      <c r="D69" s="26"/>
      <c r="E69" s="26"/>
      <c r="F69" s="26"/>
    </row>
    <row r="70" spans="1:6">
      <c r="A70" s="26"/>
      <c r="B70" s="26"/>
      <c r="C70" s="26"/>
      <c r="D70" s="26"/>
      <c r="E70" s="26"/>
      <c r="F70" s="26"/>
    </row>
    <row r="71" spans="1:6">
      <c r="A71" s="26"/>
      <c r="B71" s="26"/>
      <c r="C71" s="26"/>
      <c r="D71" s="26"/>
      <c r="E71" s="26"/>
      <c r="F71" s="26"/>
    </row>
    <row r="72" spans="1:6">
      <c r="A72" s="26"/>
      <c r="B72" s="26"/>
      <c r="C72" s="26"/>
      <c r="D72" s="26"/>
      <c r="E72" s="26"/>
      <c r="F72" s="26"/>
    </row>
    <row r="73" spans="1:6">
      <c r="A73" s="26"/>
      <c r="B73" s="26"/>
      <c r="C73" s="26"/>
      <c r="D73" s="26"/>
      <c r="E73" s="26"/>
      <c r="F73" s="26"/>
    </row>
    <row r="74" spans="1:6">
      <c r="A74" s="26"/>
      <c r="B74" s="26"/>
      <c r="C74" s="26"/>
      <c r="D74" s="26"/>
      <c r="E74" s="26"/>
      <c r="F74" s="26"/>
    </row>
    <row r="75" spans="1:6">
      <c r="A75" s="26"/>
      <c r="B75" s="26"/>
      <c r="C75" s="26"/>
      <c r="D75" s="26"/>
      <c r="E75" s="26"/>
      <c r="F75" s="26"/>
    </row>
    <row r="76" spans="1:6">
      <c r="A76" s="26"/>
      <c r="B76" s="26"/>
      <c r="C76" s="26"/>
      <c r="D76" s="26"/>
      <c r="E76" s="26"/>
      <c r="F76" s="26"/>
    </row>
    <row r="77" spans="1:6">
      <c r="A77" s="26"/>
      <c r="B77" s="26"/>
      <c r="C77" s="26"/>
      <c r="D77" s="26"/>
      <c r="E77" s="26"/>
      <c r="F77" s="26"/>
    </row>
    <row r="78" spans="1:6">
      <c r="A78" s="26"/>
      <c r="B78" s="26"/>
      <c r="C78" s="26"/>
      <c r="D78" s="26"/>
      <c r="E78" s="26"/>
      <c r="F78" s="26"/>
    </row>
    <row r="79" spans="1:6">
      <c r="A79" s="26"/>
      <c r="B79" s="26"/>
      <c r="C79" s="26"/>
      <c r="D79" s="26"/>
      <c r="E79" s="26"/>
      <c r="F79" s="26"/>
    </row>
    <row r="80" spans="1:6">
      <c r="A80" s="26"/>
      <c r="B80" s="26"/>
      <c r="C80" s="26"/>
      <c r="D80" s="26"/>
      <c r="E80" s="26"/>
      <c r="F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26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  <row r="106" spans="1:6">
      <c r="A106" s="26"/>
      <c r="B106" s="26"/>
      <c r="C106" s="26"/>
      <c r="D106" s="26"/>
      <c r="E106" s="26"/>
      <c r="F106" s="26"/>
    </row>
    <row r="107" spans="1:6">
      <c r="A107" s="26"/>
      <c r="B107" s="26"/>
      <c r="C107" s="26"/>
      <c r="D107" s="26"/>
      <c r="E107" s="26"/>
      <c r="F107" s="26"/>
    </row>
    <row r="108" spans="1:6">
      <c r="A108" s="26"/>
      <c r="B108" s="26"/>
      <c r="C108" s="26"/>
      <c r="D108" s="26"/>
      <c r="E108" s="26"/>
      <c r="F108" s="26"/>
    </row>
    <row r="109" spans="1:6">
      <c r="A109" s="26"/>
      <c r="B109" s="26"/>
      <c r="C109" s="26"/>
      <c r="D109" s="26"/>
      <c r="E109" s="26"/>
      <c r="F109" s="26"/>
    </row>
    <row r="110" spans="1:6">
      <c r="A110" s="26"/>
      <c r="B110" s="26"/>
      <c r="C110" s="26"/>
      <c r="D110" s="26"/>
      <c r="E110" s="26"/>
      <c r="F110" s="26"/>
    </row>
    <row r="111" spans="1:6">
      <c r="A111" s="26"/>
      <c r="B111" s="26"/>
      <c r="C111" s="26"/>
      <c r="D111" s="26"/>
      <c r="E111" s="26"/>
      <c r="F111" s="26"/>
    </row>
    <row r="112" spans="1:6">
      <c r="A112" s="26"/>
      <c r="B112" s="26"/>
      <c r="C112" s="26"/>
      <c r="D112" s="26"/>
      <c r="E112" s="26"/>
      <c r="F112" s="26"/>
    </row>
    <row r="113" spans="1:6">
      <c r="A113" s="26"/>
      <c r="B113" s="26"/>
      <c r="C113" s="26"/>
      <c r="D113" s="26"/>
      <c r="E113" s="26"/>
      <c r="F113" s="26"/>
    </row>
    <row r="114" spans="1:6">
      <c r="A114" s="26"/>
      <c r="B114" s="26"/>
      <c r="C114" s="26"/>
      <c r="D114" s="26"/>
      <c r="E114" s="26"/>
      <c r="F114" s="26"/>
    </row>
    <row r="115" spans="1:6">
      <c r="A115" s="26"/>
      <c r="B115" s="26"/>
      <c r="C115" s="26"/>
      <c r="D115" s="26"/>
      <c r="E115" s="26"/>
      <c r="F115" s="26"/>
    </row>
    <row r="116" spans="1:6">
      <c r="A116" s="26"/>
      <c r="B116" s="26"/>
      <c r="C116" s="26"/>
      <c r="D116" s="26"/>
      <c r="E116" s="26"/>
      <c r="F116" s="26"/>
    </row>
    <row r="117" spans="1:6">
      <c r="A117" s="26"/>
      <c r="B117" s="26"/>
      <c r="C117" s="26"/>
      <c r="D117" s="26"/>
      <c r="E117" s="26"/>
      <c r="F117" s="26"/>
    </row>
    <row r="118" spans="1:6">
      <c r="A118" s="26"/>
      <c r="B118" s="26"/>
      <c r="C118" s="26"/>
      <c r="D118" s="26"/>
      <c r="E118" s="26"/>
      <c r="F118" s="26"/>
    </row>
    <row r="119" spans="1:6">
      <c r="A119" s="26"/>
      <c r="B119" s="26"/>
      <c r="C119" s="26"/>
      <c r="D119" s="26"/>
      <c r="E119" s="26"/>
      <c r="F119" s="26"/>
    </row>
    <row r="120" spans="1:6">
      <c r="A120" s="26"/>
      <c r="B120" s="26"/>
      <c r="C120" s="26"/>
      <c r="D120" s="26"/>
      <c r="E120" s="26"/>
      <c r="F120" s="26"/>
    </row>
    <row r="121" spans="1:6">
      <c r="A121" s="26"/>
      <c r="B121" s="26"/>
      <c r="C121" s="26"/>
      <c r="D121" s="26"/>
      <c r="E121" s="26"/>
      <c r="F121" s="26"/>
    </row>
    <row r="122" spans="1:6">
      <c r="A122" s="26"/>
      <c r="B122" s="26"/>
      <c r="C122" s="26"/>
      <c r="D122" s="26"/>
      <c r="E122" s="26"/>
      <c r="F122" s="26"/>
    </row>
    <row r="123" spans="1:6">
      <c r="A123" s="26"/>
      <c r="B123" s="26"/>
      <c r="C123" s="26"/>
      <c r="D123" s="26"/>
      <c r="E123" s="26"/>
      <c r="F123" s="26"/>
    </row>
    <row r="124" spans="1:6">
      <c r="A124" s="26"/>
      <c r="B124" s="26"/>
      <c r="C124" s="26"/>
      <c r="D124" s="26"/>
      <c r="E124" s="26"/>
      <c r="F124" s="26"/>
    </row>
    <row r="125" spans="1:6">
      <c r="A125" s="26"/>
      <c r="B125" s="26"/>
      <c r="C125" s="26"/>
      <c r="D125" s="26"/>
      <c r="E125" s="26"/>
      <c r="F125" s="26"/>
    </row>
    <row r="126" spans="1:6">
      <c r="A126" s="26"/>
      <c r="B126" s="26"/>
      <c r="C126" s="26"/>
      <c r="D126" s="26"/>
      <c r="E126" s="26"/>
      <c r="F126" s="26"/>
    </row>
    <row r="127" spans="1:6">
      <c r="A127" s="26"/>
      <c r="B127" s="26"/>
      <c r="C127" s="26"/>
      <c r="D127" s="26"/>
      <c r="E127" s="26"/>
      <c r="F127" s="26"/>
    </row>
    <row r="128" spans="1:6">
      <c r="A128" s="26"/>
      <c r="B128" s="26"/>
      <c r="C128" s="26"/>
      <c r="D128" s="26"/>
      <c r="E128" s="26"/>
      <c r="F128" s="26"/>
    </row>
    <row r="129" spans="1:6">
      <c r="A129" s="26"/>
      <c r="B129" s="26"/>
      <c r="C129" s="26"/>
      <c r="D129" s="26"/>
      <c r="E129" s="26"/>
      <c r="F129" s="26"/>
    </row>
    <row r="130" spans="1:6">
      <c r="A130" s="26"/>
      <c r="B130" s="26"/>
      <c r="C130" s="26"/>
      <c r="D130" s="26"/>
      <c r="E130" s="26"/>
      <c r="F130" s="26"/>
    </row>
    <row r="131" spans="1:6">
      <c r="A131" s="26"/>
      <c r="B131" s="26"/>
      <c r="C131" s="26"/>
      <c r="D131" s="26"/>
      <c r="E131" s="26"/>
      <c r="F131" s="26"/>
    </row>
    <row r="132" spans="1:6">
      <c r="A132" s="26"/>
      <c r="B132" s="26"/>
      <c r="C132" s="26"/>
      <c r="D132" s="26"/>
      <c r="E132" s="26"/>
      <c r="F132" s="26"/>
    </row>
    <row r="133" spans="1:6">
      <c r="A133" s="26"/>
      <c r="B133" s="26"/>
      <c r="C133" s="26"/>
      <c r="D133" s="26"/>
      <c r="E133" s="26"/>
      <c r="F133" s="26"/>
    </row>
    <row r="134" spans="1:6">
      <c r="A134" s="26"/>
      <c r="B134" s="26"/>
      <c r="C134" s="26"/>
      <c r="D134" s="26"/>
      <c r="E134" s="26"/>
      <c r="F134" s="26"/>
    </row>
    <row r="135" spans="1:6">
      <c r="A135" s="26"/>
      <c r="B135" s="26"/>
      <c r="C135" s="26"/>
      <c r="D135" s="26"/>
      <c r="E135" s="26"/>
      <c r="F135" s="26"/>
    </row>
    <row r="136" spans="1:6">
      <c r="A136" s="26"/>
      <c r="B136" s="26"/>
      <c r="C136" s="26"/>
      <c r="D136" s="26"/>
      <c r="E136" s="26"/>
      <c r="F136" s="26"/>
    </row>
    <row r="137" spans="1:6">
      <c r="A137" s="26"/>
      <c r="B137" s="26"/>
      <c r="C137" s="26"/>
      <c r="D137" s="26"/>
      <c r="E137" s="26"/>
      <c r="F137" s="26"/>
    </row>
    <row r="138" spans="1:6">
      <c r="A138" s="26"/>
      <c r="B138" s="26"/>
      <c r="C138" s="26"/>
      <c r="D138" s="26"/>
      <c r="E138" s="26"/>
      <c r="F138" s="26"/>
    </row>
    <row r="139" spans="1:6">
      <c r="A139" s="26"/>
      <c r="B139" s="26"/>
      <c r="C139" s="26"/>
      <c r="D139" s="26"/>
      <c r="E139" s="26"/>
      <c r="F139" s="26"/>
    </row>
    <row r="140" spans="1:6">
      <c r="A140" s="26"/>
      <c r="B140" s="26"/>
      <c r="C140" s="26"/>
      <c r="D140" s="26"/>
      <c r="E140" s="26"/>
      <c r="F140" s="26"/>
    </row>
    <row r="141" spans="1:6">
      <c r="A141" s="26"/>
      <c r="B141" s="26"/>
      <c r="C141" s="26"/>
      <c r="D141" s="26"/>
      <c r="E141" s="26"/>
      <c r="F141" s="26"/>
    </row>
    <row r="142" spans="1:6">
      <c r="A142" s="26"/>
      <c r="B142" s="26"/>
      <c r="C142" s="26"/>
      <c r="D142" s="26"/>
      <c r="E142" s="26"/>
      <c r="F142" s="26"/>
    </row>
    <row r="143" spans="1:6">
      <c r="A143" s="26"/>
      <c r="B143" s="26"/>
      <c r="C143" s="26"/>
      <c r="D143" s="26"/>
      <c r="E143" s="26"/>
      <c r="F143" s="26"/>
    </row>
    <row r="144" spans="1:6">
      <c r="A144" s="26"/>
      <c r="B144" s="26"/>
      <c r="C144" s="26"/>
      <c r="D144" s="26"/>
      <c r="E144" s="26"/>
      <c r="F144" s="26"/>
    </row>
    <row r="145" spans="1:6">
      <c r="A145" s="26"/>
      <c r="B145" s="26"/>
      <c r="C145" s="26"/>
      <c r="D145" s="26"/>
      <c r="E145" s="26"/>
      <c r="F145" s="26"/>
    </row>
    <row r="146" spans="1:6">
      <c r="A146" s="26"/>
      <c r="B146" s="26"/>
      <c r="C146" s="26"/>
      <c r="D146" s="26"/>
      <c r="E146" s="26"/>
      <c r="F146" s="26"/>
    </row>
    <row r="147" spans="1:6">
      <c r="A147" s="26"/>
      <c r="B147" s="26"/>
      <c r="C147" s="26"/>
      <c r="D147" s="26"/>
      <c r="E147" s="26"/>
      <c r="F147" s="26"/>
    </row>
    <row r="148" spans="1:6">
      <c r="A148" s="26"/>
      <c r="B148" s="26"/>
      <c r="C148" s="26"/>
      <c r="D148" s="26"/>
      <c r="E148" s="26"/>
      <c r="F148" s="26"/>
    </row>
    <row r="149" spans="1:6">
      <c r="A149" s="26"/>
      <c r="B149" s="26"/>
      <c r="C149" s="26"/>
      <c r="D149" s="26"/>
      <c r="E149" s="26"/>
      <c r="F149" s="26"/>
    </row>
    <row r="150" spans="1:6">
      <c r="A150" s="26"/>
      <c r="B150" s="26"/>
      <c r="C150" s="26"/>
      <c r="D150" s="26"/>
      <c r="E150" s="26"/>
      <c r="F150" s="26"/>
    </row>
    <row r="151" spans="1:6">
      <c r="A151" s="26"/>
      <c r="B151" s="26"/>
      <c r="C151" s="26"/>
      <c r="D151" s="26"/>
      <c r="E151" s="26"/>
      <c r="F151" s="26"/>
    </row>
    <row r="152" spans="1:6">
      <c r="A152" s="26"/>
      <c r="B152" s="26"/>
      <c r="C152" s="26"/>
      <c r="D152" s="26"/>
      <c r="E152" s="26"/>
      <c r="F152" s="26"/>
    </row>
    <row r="153" spans="1:6">
      <c r="A153" s="26"/>
      <c r="B153" s="26"/>
      <c r="C153" s="26"/>
      <c r="D153" s="26"/>
      <c r="E153" s="26"/>
      <c r="F153" s="26"/>
    </row>
    <row r="154" spans="1:6">
      <c r="A154" s="26"/>
      <c r="B154" s="26"/>
      <c r="C154" s="26"/>
      <c r="D154" s="26"/>
      <c r="E154" s="26"/>
      <c r="F154" s="26"/>
    </row>
    <row r="155" spans="1:6">
      <c r="A155" s="26"/>
      <c r="B155" s="26"/>
      <c r="C155" s="26"/>
      <c r="D155" s="26"/>
      <c r="E155" s="26"/>
      <c r="F155" s="26"/>
    </row>
    <row r="156" spans="1:6">
      <c r="A156" s="26"/>
      <c r="B156" s="26"/>
      <c r="C156" s="26"/>
      <c r="D156" s="26"/>
      <c r="E156" s="26"/>
      <c r="F156" s="26"/>
    </row>
    <row r="157" spans="1:6">
      <c r="A157" s="26"/>
      <c r="B157" s="26"/>
      <c r="C157" s="26"/>
      <c r="D157" s="26"/>
      <c r="E157" s="26"/>
      <c r="F157" s="26"/>
    </row>
    <row r="158" spans="1:6">
      <c r="A158" s="26"/>
      <c r="B158" s="26"/>
      <c r="C158" s="26"/>
      <c r="D158" s="26"/>
      <c r="E158" s="26"/>
      <c r="F158" s="26"/>
    </row>
    <row r="159" spans="1:6">
      <c r="A159" s="26"/>
      <c r="B159" s="26"/>
      <c r="C159" s="26"/>
      <c r="D159" s="26"/>
      <c r="E159" s="26"/>
      <c r="F159" s="26"/>
    </row>
    <row r="160" spans="1:6">
      <c r="A160" s="26"/>
      <c r="B160" s="26"/>
      <c r="C160" s="26"/>
      <c r="D160" s="26"/>
      <c r="E160" s="26"/>
      <c r="F160" s="26"/>
    </row>
    <row r="161" spans="1:6">
      <c r="A161" s="26"/>
      <c r="B161" s="26"/>
      <c r="C161" s="26"/>
      <c r="D161" s="26"/>
      <c r="E161" s="26"/>
      <c r="F161" s="26"/>
    </row>
    <row r="162" spans="1:6">
      <c r="A162" s="26"/>
      <c r="B162" s="26"/>
      <c r="C162" s="26"/>
      <c r="D162" s="26"/>
      <c r="E162" s="26"/>
      <c r="F162" s="26"/>
    </row>
    <row r="163" spans="1:6">
      <c r="A163" s="26"/>
      <c r="B163" s="26"/>
      <c r="C163" s="26"/>
      <c r="D163" s="26"/>
      <c r="E163" s="26"/>
      <c r="F163" s="26"/>
    </row>
    <row r="164" spans="1:6">
      <c r="A164" s="26"/>
      <c r="B164" s="26"/>
      <c r="C164" s="26"/>
      <c r="D164" s="26"/>
      <c r="E164" s="26"/>
      <c r="F164" s="26"/>
    </row>
    <row r="165" spans="1:6">
      <c r="A165" s="26"/>
      <c r="B165" s="26"/>
      <c r="C165" s="26"/>
      <c r="D165" s="26"/>
      <c r="E165" s="26"/>
      <c r="F165" s="26"/>
    </row>
    <row r="166" spans="1:6">
      <c r="A166" s="26"/>
      <c r="B166" s="26"/>
      <c r="C166" s="26"/>
      <c r="D166" s="26"/>
      <c r="E166" s="26"/>
      <c r="F166" s="26"/>
    </row>
    <row r="167" spans="1:6">
      <c r="A167" s="26"/>
      <c r="B167" s="26"/>
      <c r="C167" s="26"/>
      <c r="D167" s="26"/>
      <c r="E167" s="26"/>
      <c r="F167" s="26"/>
    </row>
    <row r="168" spans="1:6">
      <c r="A168" s="26"/>
      <c r="B168" s="26"/>
      <c r="C168" s="26"/>
      <c r="D168" s="26"/>
      <c r="E168" s="26"/>
      <c r="F168" s="26"/>
    </row>
    <row r="169" spans="1:6">
      <c r="A169" s="26"/>
      <c r="B169" s="26"/>
      <c r="C169" s="26"/>
      <c r="D169" s="26"/>
      <c r="E169" s="26"/>
      <c r="F169" s="26"/>
    </row>
    <row r="170" spans="1:6">
      <c r="A170" s="26"/>
      <c r="B170" s="26"/>
      <c r="C170" s="26"/>
      <c r="D170" s="26"/>
      <c r="E170" s="26"/>
      <c r="F170" s="26"/>
    </row>
    <row r="171" spans="1:6">
      <c r="A171" s="26"/>
      <c r="B171" s="26"/>
      <c r="C171" s="26"/>
      <c r="D171" s="26"/>
      <c r="E171" s="26"/>
      <c r="F171" s="26"/>
    </row>
    <row r="172" spans="1:6">
      <c r="A172" s="26"/>
      <c r="B172" s="26"/>
      <c r="C172" s="26"/>
      <c r="D172" s="26"/>
      <c r="E172" s="26"/>
      <c r="F172" s="26"/>
    </row>
    <row r="173" spans="1:6">
      <c r="A173" s="26"/>
      <c r="B173" s="26"/>
      <c r="C173" s="26"/>
      <c r="D173" s="26"/>
      <c r="E173" s="26"/>
      <c r="F173" s="26"/>
    </row>
    <row r="174" spans="1:6">
      <c r="A174" s="26"/>
      <c r="B174" s="26"/>
      <c r="C174" s="26"/>
      <c r="D174" s="26"/>
      <c r="E174" s="26"/>
      <c r="F174" s="26"/>
    </row>
    <row r="175" spans="1:6">
      <c r="A175" s="26"/>
      <c r="B175" s="26"/>
      <c r="C175" s="26"/>
      <c r="D175" s="26"/>
      <c r="E175" s="26"/>
      <c r="F175" s="26"/>
    </row>
    <row r="176" spans="1:6">
      <c r="A176" s="26"/>
      <c r="B176" s="26"/>
      <c r="C176" s="26"/>
      <c r="D176" s="26"/>
      <c r="E176" s="26"/>
      <c r="F176" s="26"/>
    </row>
    <row r="177" spans="1:6">
      <c r="A177" s="26"/>
      <c r="B177" s="26"/>
      <c r="C177" s="26"/>
      <c r="D177" s="26"/>
      <c r="E177" s="26"/>
      <c r="F177" s="26"/>
    </row>
    <row r="178" spans="1:6">
      <c r="A178" s="26"/>
      <c r="B178" s="26"/>
      <c r="C178" s="26"/>
      <c r="D178" s="26"/>
      <c r="E178" s="26"/>
      <c r="F178" s="26"/>
    </row>
    <row r="179" spans="1:6">
      <c r="A179" s="26"/>
      <c r="B179" s="26"/>
      <c r="C179" s="26"/>
      <c r="D179" s="26"/>
      <c r="E179" s="26"/>
      <c r="F179" s="26"/>
    </row>
    <row r="180" spans="1:6">
      <c r="A180" s="26"/>
      <c r="B180" s="26"/>
      <c r="C180" s="26"/>
      <c r="D180" s="26"/>
      <c r="E180" s="26"/>
      <c r="F180" s="26"/>
    </row>
    <row r="181" spans="1:6">
      <c r="A181" s="26"/>
      <c r="B181" s="26"/>
      <c r="C181" s="26"/>
      <c r="D181" s="26"/>
      <c r="E181" s="26"/>
      <c r="F181" s="26"/>
    </row>
    <row r="182" spans="1:6">
      <c r="A182" s="26"/>
      <c r="B182" s="26"/>
      <c r="C182" s="26"/>
      <c r="D182" s="26"/>
      <c r="E182" s="26"/>
      <c r="F182" s="26"/>
    </row>
    <row r="183" spans="1:6">
      <c r="A183" s="26"/>
      <c r="B183" s="26"/>
      <c r="C183" s="26"/>
      <c r="D183" s="26"/>
      <c r="E183" s="26"/>
      <c r="F183" s="26"/>
    </row>
    <row r="184" spans="1:6">
      <c r="A184" s="26"/>
      <c r="B184" s="26"/>
      <c r="C184" s="26"/>
      <c r="D184" s="26"/>
      <c r="E184" s="26"/>
      <c r="F184" s="26"/>
    </row>
    <row r="185" spans="1:6">
      <c r="A185" s="26"/>
      <c r="B185" s="26"/>
      <c r="C185" s="26"/>
      <c r="D185" s="26"/>
      <c r="E185" s="26"/>
      <c r="F185" s="26"/>
    </row>
    <row r="186" spans="1:6">
      <c r="A186" s="26"/>
      <c r="B186" s="26"/>
      <c r="C186" s="26"/>
      <c r="D186" s="26"/>
      <c r="E186" s="26"/>
      <c r="F186" s="26"/>
    </row>
    <row r="187" spans="1:6">
      <c r="A187" s="26"/>
      <c r="B187" s="26"/>
      <c r="C187" s="26"/>
      <c r="D187" s="26"/>
      <c r="E187" s="26"/>
      <c r="F187" s="26"/>
    </row>
    <row r="188" spans="1:6">
      <c r="A188" s="26"/>
      <c r="B188" s="26"/>
      <c r="C188" s="26"/>
      <c r="D188" s="26"/>
      <c r="E188" s="26"/>
      <c r="F188" s="26"/>
    </row>
    <row r="189" spans="1:6">
      <c r="A189" s="26"/>
      <c r="B189" s="26"/>
      <c r="C189" s="26"/>
      <c r="D189" s="26"/>
      <c r="E189" s="26"/>
      <c r="F189" s="26"/>
    </row>
    <row r="190" spans="1:6">
      <c r="A190" s="26"/>
      <c r="B190" s="26"/>
      <c r="C190" s="26"/>
      <c r="D190" s="26"/>
      <c r="E190" s="26"/>
      <c r="F190" s="26"/>
    </row>
    <row r="191" spans="1:6">
      <c r="A191" s="26"/>
      <c r="B191" s="26"/>
      <c r="C191" s="26"/>
      <c r="D191" s="26"/>
      <c r="E191" s="26"/>
      <c r="F191" s="26"/>
    </row>
    <row r="192" spans="1:6">
      <c r="A192" s="26"/>
      <c r="B192" s="26"/>
      <c r="C192" s="26"/>
      <c r="D192" s="26"/>
      <c r="E192" s="26"/>
      <c r="F192" s="26"/>
    </row>
    <row r="193" spans="1:6">
      <c r="A193" s="26"/>
      <c r="B193" s="26"/>
      <c r="C193" s="26"/>
      <c r="D193" s="26"/>
      <c r="E193" s="26"/>
      <c r="F193" s="26"/>
    </row>
    <row r="194" spans="1:6">
      <c r="A194" s="26"/>
      <c r="B194" s="26"/>
      <c r="C194" s="26"/>
      <c r="D194" s="26"/>
      <c r="E194" s="26"/>
      <c r="F194" s="26"/>
    </row>
    <row r="195" spans="1:6">
      <c r="A195" s="26"/>
      <c r="B195" s="26"/>
      <c r="C195" s="26"/>
      <c r="D195" s="26"/>
      <c r="E195" s="26"/>
      <c r="F195" s="26"/>
    </row>
    <row r="196" spans="1:6">
      <c r="A196" s="26"/>
      <c r="B196" s="26"/>
      <c r="C196" s="26"/>
      <c r="D196" s="26"/>
      <c r="E196" s="26"/>
      <c r="F196" s="26"/>
    </row>
    <row r="197" spans="1:6">
      <c r="A197" s="26"/>
      <c r="B197" s="26"/>
      <c r="C197" s="26"/>
      <c r="D197" s="26"/>
      <c r="E197" s="26"/>
      <c r="F197" s="26"/>
    </row>
    <row r="198" spans="1:6">
      <c r="A198" s="26"/>
      <c r="B198" s="26"/>
      <c r="C198" s="26"/>
      <c r="D198" s="26"/>
      <c r="E198" s="26"/>
      <c r="F198" s="26"/>
    </row>
    <row r="199" spans="1:6">
      <c r="A199" s="26"/>
      <c r="B199" s="26"/>
      <c r="C199" s="26"/>
      <c r="D199" s="26"/>
      <c r="E199" s="26"/>
      <c r="F199" s="26"/>
    </row>
    <row r="200" spans="1:6">
      <c r="A200" s="26"/>
      <c r="B200" s="26"/>
      <c r="C200" s="26"/>
      <c r="D200" s="26"/>
      <c r="E200" s="26"/>
      <c r="F200" s="26"/>
    </row>
    <row r="201" spans="1:6">
      <c r="A201" s="26"/>
      <c r="B201" s="26"/>
      <c r="C201" s="26"/>
      <c r="D201" s="26"/>
      <c r="E201" s="26"/>
      <c r="F201" s="26"/>
    </row>
    <row r="202" spans="1:6">
      <c r="A202" s="26"/>
      <c r="B202" s="26"/>
      <c r="C202" s="26"/>
      <c r="D202" s="26"/>
      <c r="E202" s="26"/>
      <c r="F202" s="26"/>
    </row>
    <row r="203" spans="1:6">
      <c r="A203" s="26"/>
      <c r="B203" s="26"/>
      <c r="C203" s="26"/>
      <c r="D203" s="26"/>
      <c r="E203" s="26"/>
      <c r="F203" s="26"/>
    </row>
    <row r="204" spans="1:6">
      <c r="A204" s="26"/>
      <c r="B204" s="26"/>
      <c r="C204" s="26"/>
      <c r="D204" s="26"/>
      <c r="E204" s="26"/>
      <c r="F204" s="26"/>
    </row>
    <row r="205" spans="1:6">
      <c r="A205" s="26"/>
      <c r="B205" s="26"/>
      <c r="C205" s="26"/>
      <c r="D205" s="26"/>
      <c r="E205" s="26"/>
      <c r="F205" s="26"/>
    </row>
    <row r="206" spans="1:6">
      <c r="A206" s="26"/>
      <c r="B206" s="26"/>
      <c r="C206" s="26"/>
      <c r="D206" s="26"/>
      <c r="E206" s="26"/>
      <c r="F206" s="26"/>
    </row>
    <row r="207" spans="1:6">
      <c r="A207" s="26"/>
      <c r="B207" s="26"/>
      <c r="C207" s="26"/>
      <c r="D207" s="26"/>
      <c r="E207" s="26"/>
      <c r="F207" s="26"/>
    </row>
    <row r="208" spans="1:6">
      <c r="A208" s="26"/>
      <c r="B208" s="26"/>
      <c r="C208" s="26"/>
      <c r="D208" s="26"/>
      <c r="E208" s="26"/>
      <c r="F208" s="26"/>
    </row>
    <row r="209" spans="1:6">
      <c r="A209" s="26"/>
      <c r="B209" s="26"/>
      <c r="C209" s="26"/>
      <c r="D209" s="26"/>
      <c r="E209" s="26"/>
      <c r="F209" s="26"/>
    </row>
    <row r="210" spans="1:6">
      <c r="A210" s="26"/>
      <c r="B210" s="26"/>
      <c r="C210" s="26"/>
      <c r="D210" s="26"/>
      <c r="E210" s="26"/>
      <c r="F210" s="26"/>
    </row>
    <row r="211" spans="1:6">
      <c r="A211" s="26"/>
      <c r="B211" s="26"/>
      <c r="C211" s="26"/>
      <c r="D211" s="26"/>
      <c r="E211" s="26"/>
      <c r="F211" s="26"/>
    </row>
    <row r="212" spans="1:6">
      <c r="A212" s="26"/>
      <c r="B212" s="26"/>
      <c r="C212" s="26"/>
      <c r="D212" s="26"/>
      <c r="E212" s="26"/>
      <c r="F212" s="26"/>
    </row>
    <row r="213" spans="1:6">
      <c r="A213" s="26"/>
      <c r="B213" s="26"/>
      <c r="C213" s="26"/>
      <c r="D213" s="26"/>
      <c r="E213" s="26"/>
      <c r="F213" s="26"/>
    </row>
    <row r="214" spans="1:6">
      <c r="A214" s="26"/>
      <c r="B214" s="26"/>
      <c r="C214" s="26"/>
      <c r="D214" s="26"/>
      <c r="E214" s="26"/>
      <c r="F214" s="26"/>
    </row>
    <row r="215" spans="1:6">
      <c r="A215" s="26"/>
      <c r="B215" s="26"/>
      <c r="C215" s="26"/>
      <c r="D215" s="26"/>
      <c r="E215" s="26"/>
      <c r="F215" s="26"/>
    </row>
    <row r="216" spans="1:6">
      <c r="A216" s="26"/>
      <c r="B216" s="26"/>
      <c r="C216" s="26"/>
      <c r="D216" s="26"/>
      <c r="E216" s="26"/>
      <c r="F216" s="26"/>
    </row>
    <row r="217" spans="1:6">
      <c r="A217" s="26"/>
      <c r="B217" s="26"/>
      <c r="C217" s="26"/>
      <c r="D217" s="26"/>
      <c r="E217" s="26"/>
      <c r="F217" s="26"/>
    </row>
    <row r="218" spans="1:6">
      <c r="A218" s="26"/>
      <c r="B218" s="26"/>
      <c r="C218" s="26"/>
      <c r="D218" s="26"/>
      <c r="E218" s="26"/>
      <c r="F218" s="26"/>
    </row>
    <row r="219" spans="1:6">
      <c r="A219" s="26"/>
      <c r="B219" s="26"/>
      <c r="C219" s="26"/>
      <c r="D219" s="26"/>
      <c r="E219" s="26"/>
      <c r="F219" s="26"/>
    </row>
    <row r="220" spans="1:6">
      <c r="A220" s="26"/>
      <c r="B220" s="26"/>
      <c r="C220" s="26"/>
      <c r="D220" s="26"/>
      <c r="E220" s="26"/>
      <c r="F220" s="26"/>
    </row>
    <row r="221" spans="1:6">
      <c r="A221" s="26"/>
      <c r="B221" s="26"/>
      <c r="C221" s="26"/>
      <c r="D221" s="26"/>
      <c r="E221" s="26"/>
      <c r="F221" s="26"/>
    </row>
    <row r="222" spans="1:6">
      <c r="A222" s="26"/>
      <c r="B222" s="26"/>
      <c r="C222" s="26"/>
      <c r="D222" s="26"/>
      <c r="E222" s="26"/>
      <c r="F222" s="26"/>
    </row>
    <row r="223" spans="1:6">
      <c r="A223" s="26"/>
      <c r="B223" s="26"/>
      <c r="C223" s="26"/>
      <c r="D223" s="26"/>
      <c r="E223" s="26"/>
      <c r="F223" s="26"/>
    </row>
    <row r="224" spans="1:6">
      <c r="A224" s="26"/>
      <c r="B224" s="26"/>
      <c r="C224" s="26"/>
      <c r="D224" s="26"/>
      <c r="E224" s="26"/>
      <c r="F224" s="26"/>
    </row>
    <row r="225" spans="1:6">
      <c r="A225" s="26"/>
      <c r="B225" s="26"/>
      <c r="C225" s="26"/>
      <c r="D225" s="26"/>
      <c r="E225" s="26"/>
      <c r="F225" s="26"/>
    </row>
    <row r="226" spans="1:6">
      <c r="A226" s="26"/>
      <c r="B226" s="26"/>
      <c r="C226" s="26"/>
      <c r="D226" s="26"/>
      <c r="E226" s="26"/>
      <c r="F226" s="26"/>
    </row>
    <row r="227" spans="1:6">
      <c r="A227" s="26"/>
      <c r="B227" s="26"/>
      <c r="C227" s="26"/>
      <c r="D227" s="26"/>
      <c r="E227" s="26"/>
      <c r="F227" s="26"/>
    </row>
    <row r="228" spans="1:6">
      <c r="A228" s="26"/>
      <c r="B228" s="26"/>
      <c r="C228" s="26"/>
      <c r="D228" s="26"/>
      <c r="E228" s="26"/>
      <c r="F228" s="26"/>
    </row>
    <row r="229" spans="1:6">
      <c r="A229" s="26"/>
      <c r="B229" s="26"/>
      <c r="C229" s="26"/>
      <c r="D229" s="26"/>
      <c r="E229" s="26"/>
      <c r="F229" s="26"/>
    </row>
    <row r="230" spans="1:6">
      <c r="A230" s="26"/>
      <c r="B230" s="26"/>
      <c r="C230" s="26"/>
      <c r="D230" s="26"/>
      <c r="E230" s="26"/>
      <c r="F230" s="26"/>
    </row>
    <row r="231" spans="1:6">
      <c r="A231" s="26"/>
      <c r="B231" s="26"/>
      <c r="C231" s="26"/>
      <c r="D231" s="26"/>
      <c r="E231" s="26"/>
      <c r="F231" s="26"/>
    </row>
    <row r="232" spans="1:6">
      <c r="A232" s="26"/>
      <c r="B232" s="26"/>
      <c r="C232" s="26"/>
      <c r="D232" s="26"/>
      <c r="E232" s="26"/>
      <c r="F232" s="26"/>
    </row>
    <row r="233" spans="1:6">
      <c r="A233" s="26"/>
      <c r="B233" s="26"/>
      <c r="C233" s="26"/>
      <c r="D233" s="26"/>
      <c r="E233" s="26"/>
      <c r="F233" s="26"/>
    </row>
    <row r="234" spans="1:6">
      <c r="A234" s="26"/>
      <c r="B234" s="26"/>
      <c r="C234" s="26"/>
      <c r="D234" s="26"/>
      <c r="E234" s="26"/>
      <c r="F234" s="26"/>
    </row>
    <row r="235" spans="1:6">
      <c r="A235" s="26"/>
      <c r="B235" s="26"/>
      <c r="C235" s="26"/>
      <c r="D235" s="26"/>
      <c r="E235" s="26"/>
      <c r="F235" s="26"/>
    </row>
    <row r="236" spans="1:6">
      <c r="A236" s="26"/>
      <c r="B236" s="26"/>
      <c r="C236" s="26"/>
      <c r="D236" s="26"/>
      <c r="E236" s="26"/>
      <c r="F236" s="26"/>
    </row>
    <row r="237" spans="1:6">
      <c r="A237" s="26"/>
      <c r="B237" s="26"/>
      <c r="C237" s="26"/>
      <c r="D237" s="26"/>
      <c r="E237" s="26"/>
      <c r="F237" s="26"/>
    </row>
    <row r="238" spans="1:6">
      <c r="A238" s="26"/>
      <c r="B238" s="26"/>
      <c r="C238" s="26"/>
      <c r="D238" s="26"/>
      <c r="E238" s="26"/>
      <c r="F238" s="26"/>
    </row>
    <row r="239" spans="1:6">
      <c r="A239" s="26"/>
      <c r="B239" s="26"/>
      <c r="C239" s="26"/>
      <c r="D239" s="26"/>
      <c r="E239" s="26"/>
      <c r="F239" s="26"/>
    </row>
    <row r="240" spans="1:6">
      <c r="A240" s="26"/>
      <c r="B240" s="26"/>
      <c r="C240" s="26"/>
      <c r="D240" s="26"/>
      <c r="E240" s="26"/>
      <c r="F240" s="26"/>
    </row>
    <row r="241" spans="1:6">
      <c r="A241" s="26"/>
      <c r="B241" s="26"/>
      <c r="C241" s="26"/>
      <c r="D241" s="26"/>
      <c r="E241" s="26"/>
      <c r="F241" s="26"/>
    </row>
    <row r="242" spans="1:6">
      <c r="A242" s="26"/>
      <c r="B242" s="26"/>
      <c r="C242" s="26"/>
      <c r="D242" s="26"/>
      <c r="E242" s="26"/>
      <c r="F242" s="26"/>
    </row>
    <row r="243" spans="1:6">
      <c r="A243" s="26"/>
      <c r="B243" s="26"/>
      <c r="C243" s="26"/>
      <c r="D243" s="26"/>
      <c r="E243" s="26"/>
      <c r="F243" s="26"/>
    </row>
    <row r="244" spans="1:6">
      <c r="A244" s="26"/>
      <c r="B244" s="26"/>
      <c r="C244" s="26"/>
      <c r="D244" s="26"/>
      <c r="E244" s="26"/>
      <c r="F244" s="26"/>
    </row>
    <row r="245" spans="1:6">
      <c r="A245" s="26"/>
      <c r="B245" s="26"/>
      <c r="C245" s="26"/>
      <c r="D245" s="26"/>
      <c r="E245" s="26"/>
      <c r="F245" s="26"/>
    </row>
    <row r="246" spans="1:6">
      <c r="A246" s="26"/>
      <c r="B246" s="26"/>
      <c r="C246" s="26"/>
      <c r="D246" s="26"/>
      <c r="E246" s="26"/>
      <c r="F246" s="26"/>
    </row>
    <row r="247" spans="1:6">
      <c r="A247" s="26"/>
      <c r="B247" s="26"/>
      <c r="C247" s="26"/>
      <c r="D247" s="26"/>
      <c r="E247" s="26"/>
      <c r="F247" s="26"/>
    </row>
    <row r="248" spans="1:6">
      <c r="A248" s="26"/>
      <c r="B248" s="26"/>
      <c r="C248" s="26"/>
      <c r="D248" s="26"/>
      <c r="E248" s="26"/>
      <c r="F248" s="26"/>
    </row>
    <row r="249" spans="1:6">
      <c r="A249" s="26"/>
      <c r="B249" s="26"/>
      <c r="C249" s="26"/>
      <c r="D249" s="26"/>
      <c r="E249" s="26"/>
      <c r="F249" s="26"/>
    </row>
    <row r="250" spans="1:6">
      <c r="A250" s="26"/>
      <c r="B250" s="26"/>
      <c r="C250" s="26"/>
      <c r="D250" s="26"/>
      <c r="E250" s="26"/>
      <c r="F250" s="26"/>
    </row>
    <row r="251" spans="1:6">
      <c r="A251" s="26"/>
      <c r="B251" s="26"/>
      <c r="C251" s="26"/>
      <c r="D251" s="26"/>
      <c r="E251" s="26"/>
      <c r="F251" s="26"/>
    </row>
    <row r="252" spans="1:6">
      <c r="A252" s="26"/>
      <c r="B252" s="26"/>
      <c r="C252" s="26"/>
      <c r="D252" s="26"/>
      <c r="E252" s="26"/>
      <c r="F252" s="26"/>
    </row>
    <row r="253" spans="1:6">
      <c r="A253" s="26"/>
      <c r="B253" s="26"/>
      <c r="C253" s="26"/>
      <c r="D253" s="26"/>
      <c r="E253" s="26"/>
      <c r="F253" s="26"/>
    </row>
    <row r="254" spans="1:6">
      <c r="A254" s="26"/>
      <c r="B254" s="26"/>
      <c r="C254" s="26"/>
      <c r="D254" s="26"/>
      <c r="E254" s="26"/>
      <c r="F254" s="26"/>
    </row>
    <row r="255" spans="1:6">
      <c r="A255" s="26"/>
      <c r="B255" s="26"/>
      <c r="C255" s="26"/>
      <c r="D255" s="26"/>
      <c r="E255" s="26"/>
      <c r="F255" s="26"/>
    </row>
    <row r="256" spans="1:6">
      <c r="A256" s="26"/>
      <c r="B256" s="26"/>
      <c r="C256" s="26"/>
      <c r="D256" s="26"/>
      <c r="E256" s="26"/>
      <c r="F256" s="26"/>
    </row>
    <row r="257" spans="1:6">
      <c r="A257" s="26"/>
      <c r="B257" s="26"/>
      <c r="C257" s="26"/>
      <c r="D257" s="26"/>
      <c r="E257" s="26"/>
      <c r="F257" s="26"/>
    </row>
    <row r="258" spans="1:6">
      <c r="A258" s="26"/>
      <c r="B258" s="26"/>
      <c r="C258" s="26"/>
      <c r="D258" s="26"/>
      <c r="E258" s="26"/>
      <c r="F258" s="26"/>
    </row>
    <row r="259" spans="1:6">
      <c r="A259" s="26"/>
      <c r="B259" s="26"/>
      <c r="C259" s="26"/>
      <c r="D259" s="26"/>
      <c r="E259" s="26"/>
      <c r="F259" s="26"/>
    </row>
    <row r="260" spans="1:6">
      <c r="A260" s="26"/>
      <c r="B260" s="26"/>
      <c r="C260" s="26"/>
      <c r="D260" s="26"/>
      <c r="E260" s="26"/>
      <c r="F260" s="26"/>
    </row>
    <row r="261" spans="1:6">
      <c r="A261" s="26"/>
      <c r="B261" s="26"/>
      <c r="C261" s="26"/>
      <c r="D261" s="26"/>
      <c r="E261" s="26"/>
      <c r="F261" s="26"/>
    </row>
    <row r="262" spans="1:6">
      <c r="A262" s="26"/>
      <c r="B262" s="26"/>
      <c r="C262" s="26"/>
      <c r="D262" s="26"/>
      <c r="E262" s="26"/>
      <c r="F262" s="26"/>
    </row>
    <row r="263" spans="1:6">
      <c r="A263" s="26"/>
      <c r="B263" s="26"/>
      <c r="C263" s="26"/>
      <c r="D263" s="26"/>
      <c r="E263" s="26"/>
      <c r="F263" s="26"/>
    </row>
    <row r="264" spans="1:6">
      <c r="A264" s="26"/>
      <c r="B264" s="26"/>
      <c r="C264" s="26"/>
      <c r="D264" s="26"/>
      <c r="E264" s="26"/>
      <c r="F264" s="26"/>
    </row>
    <row r="265" spans="1:6">
      <c r="A265" s="26"/>
      <c r="B265" s="26"/>
      <c r="C265" s="26"/>
      <c r="D265" s="26"/>
      <c r="E265" s="26"/>
      <c r="F265" s="26"/>
    </row>
    <row r="266" spans="1:6">
      <c r="A266" s="26"/>
      <c r="B266" s="26"/>
      <c r="C266" s="26"/>
      <c r="D266" s="26"/>
      <c r="E266" s="26"/>
      <c r="F266" s="26"/>
    </row>
    <row r="267" spans="1:6">
      <c r="A267" s="26"/>
      <c r="B267" s="26"/>
      <c r="C267" s="26"/>
      <c r="D267" s="26"/>
      <c r="E267" s="26"/>
      <c r="F267" s="26"/>
    </row>
    <row r="268" spans="1:6">
      <c r="A268" s="26"/>
      <c r="B268" s="26"/>
      <c r="C268" s="26"/>
      <c r="D268" s="26"/>
      <c r="E268" s="26"/>
      <c r="F268" s="26"/>
    </row>
    <row r="269" spans="1:6">
      <c r="A269" s="26"/>
      <c r="B269" s="26"/>
      <c r="C269" s="26"/>
      <c r="D269" s="26"/>
      <c r="E269" s="26"/>
      <c r="F269" s="26"/>
    </row>
    <row r="270" spans="1:6">
      <c r="A270" s="26"/>
      <c r="B270" s="26"/>
      <c r="C270" s="26"/>
      <c r="D270" s="26"/>
      <c r="E270" s="26"/>
      <c r="F270" s="26"/>
    </row>
    <row r="271" spans="1:6">
      <c r="A271" s="26"/>
      <c r="B271" s="26"/>
      <c r="C271" s="26"/>
      <c r="D271" s="26"/>
      <c r="E271" s="26"/>
      <c r="F271" s="26"/>
    </row>
    <row r="272" spans="1:6">
      <c r="A272" s="26"/>
      <c r="B272" s="26"/>
      <c r="C272" s="26"/>
      <c r="D272" s="26"/>
      <c r="E272" s="26"/>
      <c r="F272" s="26"/>
    </row>
    <row r="273" spans="1:6">
      <c r="A273" s="26"/>
      <c r="B273" s="26"/>
      <c r="C273" s="26"/>
      <c r="D273" s="26"/>
      <c r="E273" s="26"/>
      <c r="F273" s="26"/>
    </row>
    <row r="274" spans="1:6">
      <c r="A274" s="26"/>
      <c r="B274" s="26"/>
      <c r="C274" s="26"/>
      <c r="D274" s="26"/>
      <c r="E274" s="26"/>
      <c r="F274" s="26"/>
    </row>
    <row r="275" spans="1:6">
      <c r="A275" s="26"/>
      <c r="B275" s="26"/>
      <c r="C275" s="26"/>
      <c r="D275" s="26"/>
      <c r="E275" s="26"/>
      <c r="F275" s="26"/>
    </row>
    <row r="276" spans="1:6">
      <c r="A276" s="26"/>
      <c r="B276" s="26"/>
      <c r="C276" s="26"/>
      <c r="D276" s="26"/>
      <c r="E276" s="26"/>
      <c r="F276" s="26"/>
    </row>
  </sheetData>
  <pageMargins left="0.7" right="0.7" top="0.75" bottom="0.75" header="0.3" footer="0.3"/>
  <pageSetup paperSize="9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7E0F-2CC7-46D1-8ECE-3B7865C76252}">
  <dimension ref="A2:H276"/>
  <sheetViews>
    <sheetView topLeftCell="B26" workbookViewId="0">
      <selection activeCell="H2" sqref="H2:H14"/>
    </sheetView>
  </sheetViews>
  <sheetFormatPr defaultColWidth="34.7109375" defaultRowHeight="15"/>
  <cols>
    <col min="1" max="5" width="34.7109375" style="1" customWidth="1"/>
    <col min="6" max="6" width="24.5703125" style="1" customWidth="1"/>
    <col min="7" max="7" width="12" style="1" customWidth="1"/>
    <col min="8" max="8" width="34.7109375" style="1" customWidth="1"/>
    <col min="9" max="16384" width="34.7109375" style="1"/>
  </cols>
  <sheetData>
    <row r="2" spans="2:8">
      <c r="B2" s="25" t="s">
        <v>6</v>
      </c>
      <c r="C2" s="25" t="s">
        <v>0</v>
      </c>
      <c r="D2" s="25" t="s">
        <v>1</v>
      </c>
      <c r="E2" s="25" t="s">
        <v>2</v>
      </c>
      <c r="F2" s="25" t="s">
        <v>4</v>
      </c>
      <c r="G2" s="25" t="s">
        <v>7</v>
      </c>
    </row>
    <row r="3" spans="2:8" ht="60.75">
      <c r="B3" s="1" t="s">
        <v>69</v>
      </c>
      <c r="C3" s="1" t="s">
        <v>131</v>
      </c>
      <c r="D3" s="1" t="s">
        <v>132</v>
      </c>
      <c r="E3" s="1" t="s">
        <v>14</v>
      </c>
      <c r="F3" s="1" t="s">
        <v>15</v>
      </c>
      <c r="G3" s="1" t="s">
        <v>93</v>
      </c>
    </row>
    <row r="4" spans="2:8" ht="76.5">
      <c r="C4" s="1" t="s">
        <v>73</v>
      </c>
      <c r="D4" s="1" t="s">
        <v>74</v>
      </c>
      <c r="E4" s="1" t="s">
        <v>14</v>
      </c>
      <c r="F4" s="1" t="s">
        <v>67</v>
      </c>
      <c r="G4" s="1" t="s">
        <v>32</v>
      </c>
    </row>
    <row r="5" spans="2:8" ht="290.25">
      <c r="C5" s="1" t="s">
        <v>105</v>
      </c>
      <c r="D5" s="1" t="s">
        <v>106</v>
      </c>
      <c r="E5" s="1" t="s">
        <v>14</v>
      </c>
      <c r="F5" s="1" t="s">
        <v>107</v>
      </c>
      <c r="G5" s="1" t="s">
        <v>32</v>
      </c>
    </row>
    <row r="6" spans="2:8" ht="91.5">
      <c r="C6" s="1" t="s">
        <v>64</v>
      </c>
      <c r="D6" s="1" t="s">
        <v>65</v>
      </c>
      <c r="E6" s="1" t="s">
        <v>14</v>
      </c>
      <c r="F6" s="1" t="s">
        <v>67</v>
      </c>
      <c r="G6" s="1" t="s">
        <v>32</v>
      </c>
    </row>
    <row r="7" spans="2:8" ht="137.25">
      <c r="C7" s="1" t="s">
        <v>121</v>
      </c>
      <c r="D7" s="1" t="s">
        <v>122</v>
      </c>
      <c r="E7" s="1" t="s">
        <v>63</v>
      </c>
      <c r="F7" s="1" t="s">
        <v>117</v>
      </c>
      <c r="G7" s="1" t="s">
        <v>32</v>
      </c>
    </row>
    <row r="8" spans="2:8" ht="106.5">
      <c r="C8" s="1" t="s">
        <v>70</v>
      </c>
      <c r="D8" s="1" t="s">
        <v>71</v>
      </c>
      <c r="E8" s="1" t="s">
        <v>14</v>
      </c>
      <c r="F8" s="1" t="s">
        <v>72</v>
      </c>
      <c r="G8" s="1" t="s">
        <v>32</v>
      </c>
    </row>
    <row r="9" spans="2:8" ht="60.75">
      <c r="C9" s="1" t="s">
        <v>118</v>
      </c>
      <c r="D9" s="1" t="s">
        <v>119</v>
      </c>
      <c r="E9" s="1" t="s">
        <v>63</v>
      </c>
      <c r="F9" s="1" t="s">
        <v>114</v>
      </c>
      <c r="G9" s="1" t="s">
        <v>32</v>
      </c>
    </row>
    <row r="10" spans="2:8" ht="76.5">
      <c r="C10" s="1" t="s">
        <v>141</v>
      </c>
      <c r="D10" s="1" t="s">
        <v>142</v>
      </c>
      <c r="E10" s="1" t="s">
        <v>63</v>
      </c>
      <c r="F10" s="1" t="s">
        <v>15</v>
      </c>
      <c r="G10" s="1" t="s">
        <v>111</v>
      </c>
    </row>
    <row r="11" spans="2:8" ht="60.75">
      <c r="C11" s="1" t="s">
        <v>82</v>
      </c>
      <c r="D11" s="1" t="s">
        <v>83</v>
      </c>
      <c r="E11" s="1" t="s">
        <v>84</v>
      </c>
      <c r="F11" s="1" t="s">
        <v>86</v>
      </c>
      <c r="G11" s="1" t="s">
        <v>32</v>
      </c>
    </row>
    <row r="12" spans="2:8" ht="76.5">
      <c r="C12" s="1" t="s">
        <v>75</v>
      </c>
      <c r="D12" s="1" t="s">
        <v>76</v>
      </c>
      <c r="E12" s="1" t="s">
        <v>14</v>
      </c>
      <c r="F12" s="1" t="s">
        <v>67</v>
      </c>
      <c r="G12" s="1" t="s">
        <v>32</v>
      </c>
      <c r="H12"/>
    </row>
    <row r="13" spans="2:8" ht="45.75">
      <c r="C13" s="1" t="s">
        <v>137</v>
      </c>
      <c r="D13" s="1" t="s">
        <v>138</v>
      </c>
      <c r="E13" s="1" t="s">
        <v>14</v>
      </c>
      <c r="F13" s="1" t="s">
        <v>15</v>
      </c>
      <c r="G13" s="1" t="s">
        <v>32</v>
      </c>
      <c r="H13"/>
    </row>
    <row r="14" spans="2:8" ht="60.75">
      <c r="C14" s="1" t="s">
        <v>80</v>
      </c>
      <c r="D14" s="1" t="s">
        <v>81</v>
      </c>
      <c r="E14" s="1" t="s">
        <v>63</v>
      </c>
      <c r="F14" s="1" t="s">
        <v>67</v>
      </c>
      <c r="G14" s="1" t="s">
        <v>32</v>
      </c>
      <c r="H14"/>
    </row>
    <row r="15" spans="2:8" ht="60.75">
      <c r="C15" s="1" t="s">
        <v>77</v>
      </c>
      <c r="D15" s="1" t="s">
        <v>78</v>
      </c>
      <c r="E15" s="1" t="s">
        <v>14</v>
      </c>
      <c r="F15" s="1" t="s">
        <v>79</v>
      </c>
      <c r="G15" s="1" t="s">
        <v>23</v>
      </c>
      <c r="H15"/>
    </row>
    <row r="16" spans="2:8" ht="60.75">
      <c r="C16" s="1" t="s">
        <v>146</v>
      </c>
      <c r="D16" s="1" t="s">
        <v>147</v>
      </c>
      <c r="E16" s="1" t="s">
        <v>14</v>
      </c>
      <c r="F16" s="1" t="s">
        <v>15</v>
      </c>
      <c r="G16" s="1" t="s">
        <v>111</v>
      </c>
      <c r="H16"/>
    </row>
    <row r="17" spans="3:8" ht="60.75">
      <c r="C17" s="1" t="s">
        <v>100</v>
      </c>
      <c r="D17" s="1" t="s">
        <v>101</v>
      </c>
      <c r="E17" s="1" t="s">
        <v>14</v>
      </c>
      <c r="F17" s="1" t="s">
        <v>103</v>
      </c>
      <c r="G17" s="1" t="s">
        <v>32</v>
      </c>
      <c r="H17"/>
    </row>
    <row r="18" spans="3:8" ht="60.75">
      <c r="C18" s="1" t="s">
        <v>135</v>
      </c>
      <c r="D18" s="1" t="s">
        <v>136</v>
      </c>
      <c r="E18" s="1" t="s">
        <v>14</v>
      </c>
      <c r="F18" s="1" t="s">
        <v>15</v>
      </c>
      <c r="G18" s="1" t="s">
        <v>23</v>
      </c>
      <c r="H18"/>
    </row>
    <row r="19" spans="3:8" ht="91.5">
      <c r="C19" s="1" t="s">
        <v>123</v>
      </c>
      <c r="D19" s="1" t="s">
        <v>124</v>
      </c>
      <c r="E19" s="1" t="s">
        <v>14</v>
      </c>
      <c r="F19" s="1" t="s">
        <v>117</v>
      </c>
      <c r="G19" s="1" t="s">
        <v>32</v>
      </c>
      <c r="H19"/>
    </row>
    <row r="20" spans="3:8" ht="76.5">
      <c r="C20" s="1" t="s">
        <v>125</v>
      </c>
      <c r="D20" s="1" t="s">
        <v>126</v>
      </c>
      <c r="E20" s="1" t="s">
        <v>14</v>
      </c>
      <c r="F20" s="1" t="s">
        <v>117</v>
      </c>
      <c r="G20" s="1" t="s">
        <v>32</v>
      </c>
      <c r="H20"/>
    </row>
    <row r="21" spans="3:8" ht="76.5">
      <c r="C21" s="1" t="s">
        <v>139</v>
      </c>
      <c r="D21" s="1" t="s">
        <v>140</v>
      </c>
      <c r="E21" s="1" t="s">
        <v>63</v>
      </c>
      <c r="F21" s="1" t="s">
        <v>15</v>
      </c>
      <c r="G21" s="1" t="s">
        <v>111</v>
      </c>
      <c r="H21"/>
    </row>
    <row r="22" spans="3:8" ht="60.75">
      <c r="C22" s="1" t="s">
        <v>88</v>
      </c>
      <c r="D22" s="1" t="s">
        <v>89</v>
      </c>
      <c r="E22" s="1" t="s">
        <v>14</v>
      </c>
      <c r="F22" s="1" t="s">
        <v>90</v>
      </c>
      <c r="G22" s="1" t="s">
        <v>32</v>
      </c>
      <c r="H22"/>
    </row>
    <row r="23" spans="3:8" ht="60.75">
      <c r="C23" s="1" t="s">
        <v>112</v>
      </c>
      <c r="D23" s="1" t="s">
        <v>113</v>
      </c>
      <c r="E23" s="1" t="s">
        <v>14</v>
      </c>
      <c r="F23" s="1" t="s">
        <v>114</v>
      </c>
      <c r="G23" s="1" t="s">
        <v>32</v>
      </c>
      <c r="H23"/>
    </row>
    <row r="24" spans="3:8" ht="60.75">
      <c r="C24" s="1" t="s">
        <v>115</v>
      </c>
      <c r="D24" s="1" t="s">
        <v>116</v>
      </c>
      <c r="E24" s="1" t="s">
        <v>14</v>
      </c>
      <c r="F24" s="1" t="s">
        <v>117</v>
      </c>
      <c r="G24" s="1" t="s">
        <v>32</v>
      </c>
      <c r="H24"/>
    </row>
    <row r="25" spans="3:8" ht="76.5">
      <c r="C25" s="1" t="s">
        <v>98</v>
      </c>
      <c r="D25" s="1" t="s">
        <v>99</v>
      </c>
      <c r="E25" s="1" t="s">
        <v>14</v>
      </c>
      <c r="F25" s="1" t="s">
        <v>90</v>
      </c>
      <c r="G25" s="1" t="s">
        <v>32</v>
      </c>
      <c r="H25"/>
    </row>
    <row r="26" spans="3:8" ht="76.5">
      <c r="C26" s="1" t="s">
        <v>94</v>
      </c>
      <c r="D26" s="1" t="s">
        <v>95</v>
      </c>
      <c r="E26" s="1" t="s">
        <v>14</v>
      </c>
      <c r="F26" s="1" t="s">
        <v>90</v>
      </c>
      <c r="G26" s="1" t="s">
        <v>32</v>
      </c>
      <c r="H26"/>
    </row>
    <row r="27" spans="3:8" ht="60.75">
      <c r="C27" s="1" t="s">
        <v>96</v>
      </c>
      <c r="D27" s="1" t="s">
        <v>97</v>
      </c>
      <c r="E27" s="1" t="s">
        <v>14</v>
      </c>
      <c r="F27" s="1" t="s">
        <v>90</v>
      </c>
      <c r="G27" s="1" t="s">
        <v>32</v>
      </c>
      <c r="H27"/>
    </row>
    <row r="28" spans="3:8" ht="60.75">
      <c r="C28" s="1" t="s">
        <v>127</v>
      </c>
      <c r="D28" s="1" t="s">
        <v>128</v>
      </c>
      <c r="E28" s="1" t="s">
        <v>14</v>
      </c>
      <c r="F28" s="1" t="s">
        <v>15</v>
      </c>
      <c r="G28" s="1" t="s">
        <v>111</v>
      </c>
      <c r="H28"/>
    </row>
    <row r="29" spans="3:8" ht="60.75">
      <c r="C29" s="1" t="s">
        <v>108</v>
      </c>
      <c r="D29" s="1" t="s">
        <v>109</v>
      </c>
      <c r="E29" s="1" t="s">
        <v>14</v>
      </c>
      <c r="F29" s="1" t="s">
        <v>110</v>
      </c>
      <c r="G29" s="1" t="s">
        <v>111</v>
      </c>
      <c r="H29"/>
    </row>
    <row r="30" spans="3:8" ht="91.5">
      <c r="C30" s="1" t="s">
        <v>143</v>
      </c>
      <c r="D30" s="1" t="s">
        <v>144</v>
      </c>
      <c r="E30" s="1" t="s">
        <v>14</v>
      </c>
      <c r="F30" s="1" t="s">
        <v>15</v>
      </c>
      <c r="G30" s="1" t="s">
        <v>111</v>
      </c>
      <c r="H30"/>
    </row>
    <row r="31" spans="3:8" ht="76.5">
      <c r="C31" s="1" t="s">
        <v>91</v>
      </c>
      <c r="D31" s="1" t="s">
        <v>92</v>
      </c>
      <c r="E31" s="1" t="s">
        <v>14</v>
      </c>
      <c r="F31" s="1" t="s">
        <v>86</v>
      </c>
      <c r="G31" s="1" t="s">
        <v>93</v>
      </c>
      <c r="H31"/>
    </row>
    <row r="32" spans="3:8" ht="60.75">
      <c r="C32" s="1" t="s">
        <v>129</v>
      </c>
      <c r="D32" s="1" t="s">
        <v>130</v>
      </c>
      <c r="E32" s="1" t="s">
        <v>14</v>
      </c>
      <c r="F32" s="1" t="s">
        <v>15</v>
      </c>
      <c r="G32" s="1" t="s">
        <v>93</v>
      </c>
      <c r="H32"/>
    </row>
    <row r="33" spans="2:8" ht="60.75">
      <c r="C33" s="1" t="s">
        <v>133</v>
      </c>
      <c r="D33" s="1" t="s">
        <v>134</v>
      </c>
      <c r="E33" s="1" t="s">
        <v>14</v>
      </c>
      <c r="F33" s="1" t="s">
        <v>15</v>
      </c>
      <c r="G33" s="1" t="s">
        <v>111</v>
      </c>
      <c r="H33"/>
    </row>
    <row r="34" spans="2:8">
      <c r="B34" s="26"/>
      <c r="C34" s="26"/>
      <c r="D34" s="26"/>
      <c r="E34" s="26"/>
      <c r="F34" s="26"/>
      <c r="G34" s="26"/>
    </row>
    <row r="35" spans="2:8">
      <c r="B35" s="26"/>
      <c r="C35" s="26"/>
      <c r="D35" s="26"/>
      <c r="E35" s="26"/>
      <c r="F35" s="26"/>
      <c r="G35" s="26"/>
    </row>
    <row r="36" spans="2:8">
      <c r="B36" s="26"/>
      <c r="C36" s="26"/>
      <c r="D36" s="26"/>
      <c r="E36" s="26"/>
      <c r="F36" s="26"/>
      <c r="G36" s="26"/>
    </row>
    <row r="37" spans="2:8">
      <c r="B37" s="26"/>
      <c r="C37" s="26"/>
      <c r="D37" s="26"/>
      <c r="E37" s="26"/>
      <c r="F37" s="26"/>
      <c r="G37" s="26"/>
    </row>
    <row r="38" spans="2:8">
      <c r="B38" s="26"/>
      <c r="C38" s="26"/>
      <c r="D38" s="26"/>
      <c r="E38" s="26"/>
      <c r="F38" s="26"/>
      <c r="G38" s="26"/>
    </row>
    <row r="39" spans="2:8">
      <c r="B39" s="26"/>
      <c r="C39" s="26"/>
      <c r="D39" s="26"/>
      <c r="E39" s="26"/>
      <c r="F39" s="26"/>
      <c r="G39" s="26"/>
    </row>
    <row r="40" spans="2:8">
      <c r="B40" s="26"/>
      <c r="C40" s="26"/>
      <c r="D40" s="26"/>
      <c r="E40" s="26"/>
      <c r="F40" s="26"/>
      <c r="G40" s="26"/>
    </row>
    <row r="41" spans="2:8">
      <c r="B41" s="26"/>
      <c r="C41" s="26"/>
      <c r="D41" s="26"/>
      <c r="E41" s="26"/>
      <c r="F41" s="26"/>
      <c r="G41" s="26"/>
    </row>
    <row r="42" spans="2:8">
      <c r="B42" s="26"/>
      <c r="C42" s="26"/>
      <c r="D42" s="26"/>
      <c r="E42" s="26"/>
      <c r="F42" s="26"/>
      <c r="G42" s="26"/>
    </row>
    <row r="43" spans="2:8">
      <c r="B43" s="26"/>
      <c r="C43" s="26"/>
      <c r="D43" s="26"/>
      <c r="E43" s="26"/>
      <c r="F43" s="26"/>
      <c r="G43" s="26"/>
    </row>
    <row r="44" spans="2:8">
      <c r="B44" s="26"/>
      <c r="C44" s="26"/>
      <c r="D44" s="26"/>
      <c r="E44" s="26"/>
      <c r="F44" s="26"/>
      <c r="G44" s="26"/>
    </row>
    <row r="45" spans="2:8">
      <c r="B45" s="26"/>
      <c r="C45" s="26"/>
      <c r="D45" s="26"/>
      <c r="E45" s="26"/>
      <c r="F45" s="26"/>
      <c r="G45" s="26"/>
    </row>
    <row r="46" spans="2:8">
      <c r="B46" s="26"/>
      <c r="C46" s="26"/>
      <c r="D46" s="26"/>
      <c r="E46" s="26"/>
      <c r="F46" s="26"/>
      <c r="G46" s="26"/>
    </row>
    <row r="47" spans="2:8">
      <c r="B47" s="26"/>
      <c r="C47" s="26"/>
      <c r="D47" s="26"/>
      <c r="E47" s="26"/>
      <c r="F47" s="26"/>
      <c r="G47" s="26"/>
    </row>
    <row r="48" spans="2:8">
      <c r="B48" s="26"/>
      <c r="C48" s="26"/>
      <c r="D48" s="26"/>
      <c r="E48" s="26"/>
      <c r="F48" s="26"/>
      <c r="G48" s="26"/>
    </row>
    <row r="49" spans="1:7">
      <c r="B49" s="26"/>
      <c r="C49" s="26"/>
      <c r="D49" s="26"/>
      <c r="E49" s="26"/>
      <c r="F49" s="26"/>
      <c r="G49" s="26"/>
    </row>
    <row r="50" spans="1:7">
      <c r="B50" s="26"/>
      <c r="C50" s="26"/>
      <c r="D50" s="26"/>
      <c r="E50" s="26"/>
      <c r="F50" s="26"/>
      <c r="G50" s="26"/>
    </row>
    <row r="51" spans="1:7">
      <c r="B51" s="26"/>
      <c r="C51" s="26"/>
      <c r="D51" s="26"/>
      <c r="E51" s="26"/>
      <c r="F51" s="26"/>
      <c r="G51" s="26"/>
    </row>
    <row r="52" spans="1:7">
      <c r="B52" s="26"/>
      <c r="C52" s="26"/>
      <c r="D52" s="26"/>
      <c r="E52" s="26"/>
      <c r="F52" s="26"/>
      <c r="G52" s="26"/>
    </row>
    <row r="53" spans="1:7">
      <c r="B53" s="26"/>
      <c r="C53" s="26"/>
      <c r="D53" s="26"/>
      <c r="E53" s="26"/>
      <c r="F53" s="26"/>
      <c r="G53" s="26"/>
    </row>
    <row r="54" spans="1:7">
      <c r="B54" s="26"/>
      <c r="C54" s="26"/>
      <c r="D54" s="26"/>
      <c r="E54" s="26"/>
      <c r="F54" s="26"/>
      <c r="G54" s="26"/>
    </row>
    <row r="55" spans="1:7">
      <c r="B55" s="26"/>
      <c r="C55" s="26"/>
      <c r="D55" s="26"/>
      <c r="E55" s="26"/>
      <c r="F55" s="26"/>
      <c r="G55" s="26"/>
    </row>
    <row r="56" spans="1:7">
      <c r="B56" s="26"/>
      <c r="C56" s="26"/>
      <c r="D56" s="26"/>
      <c r="E56" s="26"/>
      <c r="F56" s="26"/>
      <c r="G56" s="26"/>
    </row>
    <row r="57" spans="1:7">
      <c r="A57" s="26"/>
      <c r="B57" s="26"/>
      <c r="C57" s="26"/>
      <c r="D57" s="26"/>
      <c r="E57" s="26"/>
      <c r="F57" s="26"/>
    </row>
    <row r="58" spans="1:7">
      <c r="A58" s="26"/>
      <c r="B58" s="26"/>
      <c r="C58" s="26"/>
      <c r="D58" s="26"/>
      <c r="E58" s="26"/>
      <c r="F58" s="26"/>
    </row>
    <row r="59" spans="1:7">
      <c r="A59" s="26"/>
      <c r="B59" s="26"/>
      <c r="C59" s="26"/>
      <c r="D59" s="26"/>
      <c r="E59" s="26"/>
      <c r="F59" s="26"/>
    </row>
    <row r="60" spans="1:7">
      <c r="A60" s="26"/>
      <c r="B60" s="26"/>
      <c r="C60" s="26"/>
      <c r="D60" s="26"/>
      <c r="E60" s="26"/>
      <c r="F60" s="26"/>
    </row>
    <row r="61" spans="1:7">
      <c r="A61" s="26"/>
      <c r="B61" s="26"/>
      <c r="C61" s="26"/>
      <c r="D61" s="26"/>
      <c r="E61" s="26"/>
      <c r="F61" s="26"/>
    </row>
    <row r="62" spans="1:7">
      <c r="A62" s="26"/>
      <c r="B62" s="26"/>
      <c r="C62" s="26"/>
      <c r="D62" s="26"/>
      <c r="E62" s="26"/>
      <c r="F62" s="26"/>
    </row>
    <row r="63" spans="1:7">
      <c r="A63" s="26"/>
      <c r="B63" s="26"/>
      <c r="C63" s="26"/>
      <c r="D63" s="26"/>
      <c r="E63" s="26"/>
      <c r="F63" s="26"/>
    </row>
    <row r="64" spans="1:7">
      <c r="A64" s="26"/>
      <c r="B64" s="26"/>
      <c r="C64" s="26"/>
      <c r="D64" s="26"/>
      <c r="E64" s="26"/>
      <c r="F64" s="26"/>
    </row>
    <row r="65" spans="1:6">
      <c r="A65" s="26"/>
      <c r="B65" s="26"/>
      <c r="C65" s="26"/>
      <c r="D65" s="26"/>
      <c r="E65" s="26"/>
      <c r="F65" s="26"/>
    </row>
    <row r="66" spans="1:6">
      <c r="A66" s="26"/>
      <c r="B66" s="26"/>
      <c r="C66" s="26"/>
      <c r="D66" s="26"/>
      <c r="E66" s="26"/>
      <c r="F66" s="26"/>
    </row>
    <row r="67" spans="1:6">
      <c r="A67" s="26"/>
      <c r="B67" s="26"/>
      <c r="C67" s="26"/>
      <c r="D67" s="26"/>
      <c r="E67" s="26"/>
      <c r="F67" s="26"/>
    </row>
    <row r="68" spans="1:6">
      <c r="A68" s="26"/>
      <c r="B68" s="26"/>
      <c r="C68" s="26"/>
      <c r="D68" s="26"/>
      <c r="E68" s="26"/>
      <c r="F68" s="26"/>
    </row>
    <row r="69" spans="1:6">
      <c r="A69" s="26"/>
      <c r="B69" s="26"/>
      <c r="C69" s="26"/>
      <c r="D69" s="26"/>
      <c r="E69" s="26"/>
      <c r="F69" s="26"/>
    </row>
    <row r="70" spans="1:6">
      <c r="A70" s="26"/>
      <c r="B70" s="26"/>
      <c r="C70" s="26"/>
      <c r="D70" s="26"/>
      <c r="E70" s="26"/>
      <c r="F70" s="26"/>
    </row>
    <row r="71" spans="1:6">
      <c r="A71" s="26"/>
      <c r="B71" s="26"/>
      <c r="C71" s="26"/>
      <c r="D71" s="26"/>
      <c r="E71" s="26"/>
      <c r="F71" s="26"/>
    </row>
    <row r="72" spans="1:6">
      <c r="A72" s="26"/>
      <c r="B72" s="26"/>
      <c r="C72" s="26"/>
      <c r="D72" s="26"/>
      <c r="E72" s="26"/>
      <c r="F72" s="26"/>
    </row>
    <row r="73" spans="1:6">
      <c r="A73" s="26"/>
      <c r="B73" s="26"/>
      <c r="C73" s="26"/>
      <c r="D73" s="26"/>
      <c r="E73" s="26"/>
      <c r="F73" s="26"/>
    </row>
    <row r="74" spans="1:6">
      <c r="A74" s="26"/>
      <c r="B74" s="26"/>
      <c r="C74" s="26"/>
      <c r="D74" s="26"/>
      <c r="E74" s="26"/>
      <c r="F74" s="26"/>
    </row>
    <row r="75" spans="1:6">
      <c r="A75" s="26"/>
      <c r="B75" s="26"/>
      <c r="C75" s="26"/>
      <c r="D75" s="26"/>
      <c r="E75" s="26"/>
      <c r="F75" s="26"/>
    </row>
    <row r="76" spans="1:6">
      <c r="A76" s="26"/>
      <c r="B76" s="26"/>
      <c r="C76" s="26"/>
      <c r="D76" s="26"/>
      <c r="E76" s="26"/>
      <c r="F76" s="26"/>
    </row>
    <row r="77" spans="1:6">
      <c r="A77" s="26"/>
      <c r="B77" s="26"/>
      <c r="C77" s="26"/>
      <c r="D77" s="26"/>
      <c r="E77" s="26"/>
      <c r="F77" s="26"/>
    </row>
    <row r="78" spans="1:6">
      <c r="A78" s="26"/>
      <c r="B78" s="26"/>
      <c r="C78" s="26"/>
      <c r="D78" s="26"/>
      <c r="E78" s="26"/>
      <c r="F78" s="26"/>
    </row>
    <row r="79" spans="1:6">
      <c r="A79" s="26"/>
      <c r="B79" s="26"/>
      <c r="C79" s="26"/>
      <c r="D79" s="26"/>
      <c r="E79" s="26"/>
      <c r="F79" s="26"/>
    </row>
    <row r="80" spans="1:6">
      <c r="A80" s="26"/>
      <c r="B80" s="26"/>
      <c r="C80" s="26"/>
      <c r="D80" s="26"/>
      <c r="E80" s="26"/>
      <c r="F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26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  <row r="106" spans="1:6">
      <c r="A106" s="26"/>
      <c r="B106" s="26"/>
      <c r="C106" s="26"/>
      <c r="D106" s="26"/>
      <c r="E106" s="26"/>
      <c r="F106" s="26"/>
    </row>
    <row r="107" spans="1:6">
      <c r="A107" s="26"/>
      <c r="B107" s="26"/>
      <c r="C107" s="26"/>
      <c r="D107" s="26"/>
      <c r="E107" s="26"/>
      <c r="F107" s="26"/>
    </row>
    <row r="108" spans="1:6">
      <c r="A108" s="26"/>
      <c r="B108" s="26"/>
      <c r="C108" s="26"/>
      <c r="D108" s="26"/>
      <c r="E108" s="26"/>
      <c r="F108" s="26"/>
    </row>
    <row r="109" spans="1:6">
      <c r="A109" s="26"/>
      <c r="B109" s="26"/>
      <c r="C109" s="26"/>
      <c r="D109" s="26"/>
      <c r="E109" s="26"/>
      <c r="F109" s="26"/>
    </row>
    <row r="110" spans="1:6">
      <c r="A110" s="26"/>
      <c r="B110" s="26"/>
      <c r="C110" s="26"/>
      <c r="D110" s="26"/>
      <c r="E110" s="26"/>
      <c r="F110" s="26"/>
    </row>
    <row r="111" spans="1:6">
      <c r="A111" s="26"/>
      <c r="B111" s="26"/>
      <c r="C111" s="26"/>
      <c r="D111" s="26"/>
      <c r="E111" s="26"/>
      <c r="F111" s="26"/>
    </row>
    <row r="112" spans="1:6">
      <c r="A112" s="26"/>
      <c r="B112" s="26"/>
      <c r="C112" s="26"/>
      <c r="D112" s="26"/>
      <c r="E112" s="26"/>
      <c r="F112" s="26"/>
    </row>
    <row r="113" spans="1:6">
      <c r="A113" s="26"/>
      <c r="B113" s="26"/>
      <c r="C113" s="26"/>
      <c r="D113" s="26"/>
      <c r="E113" s="26"/>
      <c r="F113" s="26"/>
    </row>
    <row r="114" spans="1:6">
      <c r="A114" s="26"/>
      <c r="B114" s="26"/>
      <c r="C114" s="26"/>
      <c r="D114" s="26"/>
      <c r="E114" s="26"/>
      <c r="F114" s="26"/>
    </row>
    <row r="115" spans="1:6">
      <c r="A115" s="26"/>
      <c r="B115" s="26"/>
      <c r="C115" s="26"/>
      <c r="D115" s="26"/>
      <c r="E115" s="26"/>
      <c r="F115" s="26"/>
    </row>
    <row r="116" spans="1:6">
      <c r="A116" s="26"/>
      <c r="B116" s="26"/>
      <c r="C116" s="26"/>
      <c r="D116" s="26"/>
      <c r="E116" s="26"/>
      <c r="F116" s="26"/>
    </row>
    <row r="117" spans="1:6">
      <c r="A117" s="26"/>
      <c r="B117" s="26"/>
      <c r="C117" s="26"/>
      <c r="D117" s="26"/>
      <c r="E117" s="26"/>
      <c r="F117" s="26"/>
    </row>
    <row r="118" spans="1:6">
      <c r="A118" s="26"/>
      <c r="B118" s="26"/>
      <c r="C118" s="26"/>
      <c r="D118" s="26"/>
      <c r="E118" s="26"/>
      <c r="F118" s="26"/>
    </row>
    <row r="119" spans="1:6">
      <c r="A119" s="26"/>
      <c r="B119" s="26"/>
      <c r="C119" s="26"/>
      <c r="D119" s="26"/>
      <c r="E119" s="26"/>
      <c r="F119" s="26"/>
    </row>
    <row r="120" spans="1:6">
      <c r="A120" s="26"/>
      <c r="B120" s="26"/>
      <c r="C120" s="26"/>
      <c r="D120" s="26"/>
      <c r="E120" s="26"/>
      <c r="F120" s="26"/>
    </row>
    <row r="121" spans="1:6">
      <c r="A121" s="26"/>
      <c r="B121" s="26"/>
      <c r="C121" s="26"/>
      <c r="D121" s="26"/>
      <c r="E121" s="26"/>
      <c r="F121" s="26"/>
    </row>
    <row r="122" spans="1:6">
      <c r="A122" s="26"/>
      <c r="B122" s="26"/>
      <c r="C122" s="26"/>
      <c r="D122" s="26"/>
      <c r="E122" s="26"/>
      <c r="F122" s="26"/>
    </row>
    <row r="123" spans="1:6">
      <c r="A123" s="26"/>
      <c r="B123" s="26"/>
      <c r="C123" s="26"/>
      <c r="D123" s="26"/>
      <c r="E123" s="26"/>
      <c r="F123" s="26"/>
    </row>
    <row r="124" spans="1:6">
      <c r="A124" s="26"/>
      <c r="B124" s="26"/>
      <c r="C124" s="26"/>
      <c r="D124" s="26"/>
      <c r="E124" s="26"/>
      <c r="F124" s="26"/>
    </row>
    <row r="125" spans="1:6">
      <c r="A125" s="26"/>
      <c r="B125" s="26"/>
      <c r="C125" s="26"/>
      <c r="D125" s="26"/>
      <c r="E125" s="26"/>
      <c r="F125" s="26"/>
    </row>
    <row r="126" spans="1:6">
      <c r="A126" s="26"/>
      <c r="B126" s="26"/>
      <c r="C126" s="26"/>
      <c r="D126" s="26"/>
      <c r="E126" s="26"/>
      <c r="F126" s="26"/>
    </row>
    <row r="127" spans="1:6">
      <c r="A127" s="26"/>
      <c r="B127" s="26"/>
      <c r="C127" s="26"/>
      <c r="D127" s="26"/>
      <c r="E127" s="26"/>
      <c r="F127" s="26"/>
    </row>
    <row r="128" spans="1:6">
      <c r="A128" s="26"/>
      <c r="B128" s="26"/>
      <c r="C128" s="26"/>
      <c r="D128" s="26"/>
      <c r="E128" s="26"/>
      <c r="F128" s="26"/>
    </row>
    <row r="129" spans="1:6">
      <c r="A129" s="26"/>
      <c r="B129" s="26"/>
      <c r="C129" s="26"/>
      <c r="D129" s="26"/>
      <c r="E129" s="26"/>
      <c r="F129" s="26"/>
    </row>
    <row r="130" spans="1:6">
      <c r="A130" s="26"/>
      <c r="B130" s="26"/>
      <c r="C130" s="26"/>
      <c r="D130" s="26"/>
      <c r="E130" s="26"/>
      <c r="F130" s="26"/>
    </row>
    <row r="131" spans="1:6">
      <c r="A131" s="26"/>
      <c r="B131" s="26"/>
      <c r="C131" s="26"/>
      <c r="D131" s="26"/>
      <c r="E131" s="26"/>
      <c r="F131" s="26"/>
    </row>
    <row r="132" spans="1:6">
      <c r="A132" s="26"/>
      <c r="B132" s="26"/>
      <c r="C132" s="26"/>
      <c r="D132" s="26"/>
      <c r="E132" s="26"/>
      <c r="F132" s="26"/>
    </row>
    <row r="133" spans="1:6">
      <c r="A133" s="26"/>
      <c r="B133" s="26"/>
      <c r="C133" s="26"/>
      <c r="D133" s="26"/>
      <c r="E133" s="26"/>
      <c r="F133" s="26"/>
    </row>
    <row r="134" spans="1:6">
      <c r="A134" s="26"/>
      <c r="B134" s="26"/>
      <c r="C134" s="26"/>
      <c r="D134" s="26"/>
      <c r="E134" s="26"/>
      <c r="F134" s="26"/>
    </row>
    <row r="135" spans="1:6">
      <c r="A135" s="26"/>
      <c r="B135" s="26"/>
      <c r="C135" s="26"/>
      <c r="D135" s="26"/>
      <c r="E135" s="26"/>
      <c r="F135" s="26"/>
    </row>
    <row r="136" spans="1:6">
      <c r="A136" s="26"/>
      <c r="B136" s="26"/>
      <c r="C136" s="26"/>
      <c r="D136" s="26"/>
      <c r="E136" s="26"/>
      <c r="F136" s="26"/>
    </row>
    <row r="137" spans="1:6">
      <c r="A137" s="26"/>
      <c r="B137" s="26"/>
      <c r="C137" s="26"/>
      <c r="D137" s="26"/>
      <c r="E137" s="26"/>
      <c r="F137" s="26"/>
    </row>
    <row r="138" spans="1:6">
      <c r="A138" s="26"/>
      <c r="B138" s="26"/>
      <c r="C138" s="26"/>
      <c r="D138" s="26"/>
      <c r="E138" s="26"/>
      <c r="F138" s="26"/>
    </row>
    <row r="139" spans="1:6">
      <c r="A139" s="26"/>
      <c r="B139" s="26"/>
      <c r="C139" s="26"/>
      <c r="D139" s="26"/>
      <c r="E139" s="26"/>
      <c r="F139" s="26"/>
    </row>
    <row r="140" spans="1:6">
      <c r="A140" s="26"/>
      <c r="B140" s="26"/>
      <c r="C140" s="26"/>
      <c r="D140" s="26"/>
      <c r="E140" s="26"/>
      <c r="F140" s="26"/>
    </row>
    <row r="141" spans="1:6">
      <c r="A141" s="26"/>
      <c r="B141" s="26"/>
      <c r="C141" s="26"/>
      <c r="D141" s="26"/>
      <c r="E141" s="26"/>
      <c r="F141" s="26"/>
    </row>
    <row r="142" spans="1:6">
      <c r="A142" s="26"/>
      <c r="B142" s="26"/>
      <c r="C142" s="26"/>
      <c r="D142" s="26"/>
      <c r="E142" s="26"/>
      <c r="F142" s="26"/>
    </row>
    <row r="143" spans="1:6">
      <c r="A143" s="26"/>
      <c r="B143" s="26"/>
      <c r="C143" s="26"/>
      <c r="D143" s="26"/>
      <c r="E143" s="26"/>
      <c r="F143" s="26"/>
    </row>
    <row r="144" spans="1:6">
      <c r="A144" s="26"/>
      <c r="B144" s="26"/>
      <c r="C144" s="26"/>
      <c r="D144" s="26"/>
      <c r="E144" s="26"/>
      <c r="F144" s="26"/>
    </row>
    <row r="145" spans="1:6">
      <c r="A145" s="26"/>
      <c r="B145" s="26"/>
      <c r="C145" s="26"/>
      <c r="D145" s="26"/>
      <c r="E145" s="26"/>
      <c r="F145" s="26"/>
    </row>
    <row r="146" spans="1:6">
      <c r="A146" s="26"/>
      <c r="B146" s="26"/>
      <c r="C146" s="26"/>
      <c r="D146" s="26"/>
      <c r="E146" s="26"/>
      <c r="F146" s="26"/>
    </row>
    <row r="147" spans="1:6">
      <c r="A147" s="26"/>
      <c r="B147" s="26"/>
      <c r="C147" s="26"/>
      <c r="D147" s="26"/>
      <c r="E147" s="26"/>
      <c r="F147" s="26"/>
    </row>
    <row r="148" spans="1:6">
      <c r="A148" s="26"/>
      <c r="B148" s="26"/>
      <c r="C148" s="26"/>
      <c r="D148" s="26"/>
      <c r="E148" s="26"/>
      <c r="F148" s="26"/>
    </row>
    <row r="149" spans="1:6">
      <c r="A149" s="26"/>
      <c r="B149" s="26"/>
      <c r="C149" s="26"/>
      <c r="D149" s="26"/>
      <c r="E149" s="26"/>
      <c r="F149" s="26"/>
    </row>
    <row r="150" spans="1:6">
      <c r="A150" s="26"/>
      <c r="B150" s="26"/>
      <c r="C150" s="26"/>
      <c r="D150" s="26"/>
      <c r="E150" s="26"/>
      <c r="F150" s="26"/>
    </row>
    <row r="151" spans="1:6">
      <c r="A151" s="26"/>
      <c r="B151" s="26"/>
      <c r="C151" s="26"/>
      <c r="D151" s="26"/>
      <c r="E151" s="26"/>
      <c r="F151" s="26"/>
    </row>
    <row r="152" spans="1:6">
      <c r="A152" s="26"/>
      <c r="B152" s="26"/>
      <c r="C152" s="26"/>
      <c r="D152" s="26"/>
      <c r="E152" s="26"/>
      <c r="F152" s="26"/>
    </row>
    <row r="153" spans="1:6">
      <c r="A153" s="26"/>
      <c r="B153" s="26"/>
      <c r="C153" s="26"/>
      <c r="D153" s="26"/>
      <c r="E153" s="26"/>
      <c r="F153" s="26"/>
    </row>
    <row r="154" spans="1:6">
      <c r="A154" s="26"/>
      <c r="B154" s="26"/>
      <c r="C154" s="26"/>
      <c r="D154" s="26"/>
      <c r="E154" s="26"/>
      <c r="F154" s="26"/>
    </row>
    <row r="155" spans="1:6">
      <c r="A155" s="26"/>
      <c r="B155" s="26"/>
      <c r="C155" s="26"/>
      <c r="D155" s="26"/>
      <c r="E155" s="26"/>
      <c r="F155" s="26"/>
    </row>
    <row r="156" spans="1:6">
      <c r="A156" s="26"/>
      <c r="B156" s="26"/>
      <c r="C156" s="26"/>
      <c r="D156" s="26"/>
      <c r="E156" s="26"/>
      <c r="F156" s="26"/>
    </row>
    <row r="157" spans="1:6">
      <c r="A157" s="26"/>
      <c r="B157" s="26"/>
      <c r="C157" s="26"/>
      <c r="D157" s="26"/>
      <c r="E157" s="26"/>
      <c r="F157" s="26"/>
    </row>
    <row r="158" spans="1:6">
      <c r="A158" s="26"/>
      <c r="B158" s="26"/>
      <c r="C158" s="26"/>
      <c r="D158" s="26"/>
      <c r="E158" s="26"/>
      <c r="F158" s="26"/>
    </row>
    <row r="159" spans="1:6">
      <c r="A159" s="26"/>
      <c r="B159" s="26"/>
      <c r="C159" s="26"/>
      <c r="D159" s="26"/>
      <c r="E159" s="26"/>
      <c r="F159" s="26"/>
    </row>
    <row r="160" spans="1:6">
      <c r="A160" s="26"/>
      <c r="B160" s="26"/>
      <c r="C160" s="26"/>
      <c r="D160" s="26"/>
      <c r="E160" s="26"/>
      <c r="F160" s="26"/>
    </row>
    <row r="161" spans="1:6">
      <c r="A161" s="26"/>
      <c r="B161" s="26"/>
      <c r="C161" s="26"/>
      <c r="D161" s="26"/>
      <c r="E161" s="26"/>
      <c r="F161" s="26"/>
    </row>
    <row r="162" spans="1:6">
      <c r="A162" s="26"/>
      <c r="B162" s="26"/>
      <c r="C162" s="26"/>
      <c r="D162" s="26"/>
      <c r="E162" s="26"/>
      <c r="F162" s="26"/>
    </row>
    <row r="163" spans="1:6">
      <c r="A163" s="26"/>
      <c r="B163" s="26"/>
      <c r="C163" s="26"/>
      <c r="D163" s="26"/>
      <c r="E163" s="26"/>
      <c r="F163" s="26"/>
    </row>
    <row r="164" spans="1:6">
      <c r="A164" s="26"/>
      <c r="B164" s="26"/>
      <c r="C164" s="26"/>
      <c r="D164" s="26"/>
      <c r="E164" s="26"/>
      <c r="F164" s="26"/>
    </row>
    <row r="165" spans="1:6">
      <c r="A165" s="26"/>
      <c r="B165" s="26"/>
      <c r="C165" s="26"/>
      <c r="D165" s="26"/>
      <c r="E165" s="26"/>
      <c r="F165" s="26"/>
    </row>
    <row r="166" spans="1:6">
      <c r="A166" s="26"/>
      <c r="B166" s="26"/>
      <c r="C166" s="26"/>
      <c r="D166" s="26"/>
      <c r="E166" s="26"/>
      <c r="F166" s="26"/>
    </row>
    <row r="167" spans="1:6">
      <c r="A167" s="26"/>
      <c r="B167" s="26"/>
      <c r="C167" s="26"/>
      <c r="D167" s="26"/>
      <c r="E167" s="26"/>
      <c r="F167" s="26"/>
    </row>
    <row r="168" spans="1:6">
      <c r="A168" s="26"/>
      <c r="B168" s="26"/>
      <c r="C168" s="26"/>
      <c r="D168" s="26"/>
      <c r="E168" s="26"/>
      <c r="F168" s="26"/>
    </row>
    <row r="169" spans="1:6">
      <c r="A169" s="26"/>
      <c r="B169" s="26"/>
      <c r="C169" s="26"/>
      <c r="D169" s="26"/>
      <c r="E169" s="26"/>
      <c r="F169" s="26"/>
    </row>
    <row r="170" spans="1:6">
      <c r="A170" s="26"/>
      <c r="B170" s="26"/>
      <c r="C170" s="26"/>
      <c r="D170" s="26"/>
      <c r="E170" s="26"/>
      <c r="F170" s="26"/>
    </row>
    <row r="171" spans="1:6">
      <c r="A171" s="26"/>
      <c r="B171" s="26"/>
      <c r="C171" s="26"/>
      <c r="D171" s="26"/>
      <c r="E171" s="26"/>
      <c r="F171" s="26"/>
    </row>
    <row r="172" spans="1:6">
      <c r="A172" s="26"/>
      <c r="B172" s="26"/>
      <c r="C172" s="26"/>
      <c r="D172" s="26"/>
      <c r="E172" s="26"/>
      <c r="F172" s="26"/>
    </row>
    <row r="173" spans="1:6">
      <c r="A173" s="26"/>
      <c r="B173" s="26"/>
      <c r="C173" s="26"/>
      <c r="D173" s="26"/>
      <c r="E173" s="26"/>
      <c r="F173" s="26"/>
    </row>
    <row r="174" spans="1:6">
      <c r="A174" s="26"/>
      <c r="B174" s="26"/>
      <c r="C174" s="26"/>
      <c r="D174" s="26"/>
      <c r="E174" s="26"/>
      <c r="F174" s="26"/>
    </row>
    <row r="175" spans="1:6">
      <c r="A175" s="26"/>
      <c r="B175" s="26"/>
      <c r="C175" s="26"/>
      <c r="D175" s="26"/>
      <c r="E175" s="26"/>
      <c r="F175" s="26"/>
    </row>
    <row r="176" spans="1:6">
      <c r="A176" s="26"/>
      <c r="B176" s="26"/>
      <c r="C176" s="26"/>
      <c r="D176" s="26"/>
      <c r="E176" s="26"/>
      <c r="F176" s="26"/>
    </row>
    <row r="177" spans="1:6">
      <c r="A177" s="26"/>
      <c r="B177" s="26"/>
      <c r="C177" s="26"/>
      <c r="D177" s="26"/>
      <c r="E177" s="26"/>
      <c r="F177" s="26"/>
    </row>
    <row r="178" spans="1:6">
      <c r="A178" s="26"/>
      <c r="B178" s="26"/>
      <c r="C178" s="26"/>
      <c r="D178" s="26"/>
      <c r="E178" s="26"/>
      <c r="F178" s="26"/>
    </row>
    <row r="179" spans="1:6">
      <c r="A179" s="26"/>
      <c r="B179" s="26"/>
      <c r="C179" s="26"/>
      <c r="D179" s="26"/>
      <c r="E179" s="26"/>
      <c r="F179" s="26"/>
    </row>
    <row r="180" spans="1:6">
      <c r="A180" s="26"/>
      <c r="B180" s="26"/>
      <c r="C180" s="26"/>
      <c r="D180" s="26"/>
      <c r="E180" s="26"/>
      <c r="F180" s="26"/>
    </row>
    <row r="181" spans="1:6">
      <c r="A181" s="26"/>
      <c r="B181" s="26"/>
      <c r="C181" s="26"/>
      <c r="D181" s="26"/>
      <c r="E181" s="26"/>
      <c r="F181" s="26"/>
    </row>
    <row r="182" spans="1:6">
      <c r="A182" s="26"/>
      <c r="B182" s="26"/>
      <c r="C182" s="26"/>
      <c r="D182" s="26"/>
      <c r="E182" s="26"/>
      <c r="F182" s="26"/>
    </row>
    <row r="183" spans="1:6">
      <c r="A183" s="26"/>
      <c r="B183" s="26"/>
      <c r="C183" s="26"/>
      <c r="D183" s="26"/>
      <c r="E183" s="26"/>
      <c r="F183" s="26"/>
    </row>
    <row r="184" spans="1:6">
      <c r="A184" s="26"/>
      <c r="B184" s="26"/>
      <c r="C184" s="26"/>
      <c r="D184" s="26"/>
      <c r="E184" s="26"/>
      <c r="F184" s="26"/>
    </row>
    <row r="185" spans="1:6">
      <c r="A185" s="26"/>
      <c r="B185" s="26"/>
      <c r="C185" s="26"/>
      <c r="D185" s="26"/>
      <c r="E185" s="26"/>
      <c r="F185" s="26"/>
    </row>
    <row r="186" spans="1:6">
      <c r="A186" s="26"/>
      <c r="B186" s="26"/>
      <c r="C186" s="26"/>
      <c r="D186" s="26"/>
      <c r="E186" s="26"/>
      <c r="F186" s="26"/>
    </row>
    <row r="187" spans="1:6">
      <c r="A187" s="26"/>
      <c r="B187" s="26"/>
      <c r="C187" s="26"/>
      <c r="D187" s="26"/>
      <c r="E187" s="26"/>
      <c r="F187" s="26"/>
    </row>
    <row r="188" spans="1:6">
      <c r="A188" s="26"/>
      <c r="B188" s="26"/>
      <c r="C188" s="26"/>
      <c r="D188" s="26"/>
      <c r="E188" s="26"/>
      <c r="F188" s="26"/>
    </row>
    <row r="189" spans="1:6">
      <c r="A189" s="26"/>
      <c r="B189" s="26"/>
      <c r="C189" s="26"/>
      <c r="D189" s="26"/>
      <c r="E189" s="26"/>
      <c r="F189" s="26"/>
    </row>
    <row r="190" spans="1:6">
      <c r="A190" s="26"/>
      <c r="B190" s="26"/>
      <c r="C190" s="26"/>
      <c r="D190" s="26"/>
      <c r="E190" s="26"/>
      <c r="F190" s="26"/>
    </row>
    <row r="191" spans="1:6">
      <c r="A191" s="26"/>
      <c r="B191" s="26"/>
      <c r="C191" s="26"/>
      <c r="D191" s="26"/>
      <c r="E191" s="26"/>
      <c r="F191" s="26"/>
    </row>
    <row r="192" spans="1:6">
      <c r="A192" s="26"/>
      <c r="B192" s="26"/>
      <c r="C192" s="26"/>
      <c r="D192" s="26"/>
      <c r="E192" s="26"/>
      <c r="F192" s="26"/>
    </row>
    <row r="193" spans="1:6">
      <c r="A193" s="26"/>
      <c r="B193" s="26"/>
      <c r="C193" s="26"/>
      <c r="D193" s="26"/>
      <c r="E193" s="26"/>
      <c r="F193" s="26"/>
    </row>
    <row r="194" spans="1:6">
      <c r="A194" s="26"/>
      <c r="B194" s="26"/>
      <c r="C194" s="26"/>
      <c r="D194" s="26"/>
      <c r="E194" s="26"/>
      <c r="F194" s="26"/>
    </row>
    <row r="195" spans="1:6">
      <c r="A195" s="26"/>
      <c r="B195" s="26"/>
      <c r="C195" s="26"/>
      <c r="D195" s="26"/>
      <c r="E195" s="26"/>
      <c r="F195" s="26"/>
    </row>
    <row r="196" spans="1:6">
      <c r="A196" s="26"/>
      <c r="B196" s="26"/>
      <c r="C196" s="26"/>
      <c r="D196" s="26"/>
      <c r="E196" s="26"/>
      <c r="F196" s="26"/>
    </row>
    <row r="197" spans="1:6">
      <c r="A197" s="26"/>
      <c r="B197" s="26"/>
      <c r="C197" s="26"/>
      <c r="D197" s="26"/>
      <c r="E197" s="26"/>
      <c r="F197" s="26"/>
    </row>
    <row r="198" spans="1:6">
      <c r="A198" s="26"/>
      <c r="B198" s="26"/>
      <c r="C198" s="26"/>
      <c r="D198" s="26"/>
      <c r="E198" s="26"/>
      <c r="F198" s="26"/>
    </row>
    <row r="199" spans="1:6">
      <c r="A199" s="26"/>
      <c r="B199" s="26"/>
      <c r="C199" s="26"/>
      <c r="D199" s="26"/>
      <c r="E199" s="26"/>
      <c r="F199" s="26"/>
    </row>
    <row r="200" spans="1:6">
      <c r="A200" s="26"/>
      <c r="B200" s="26"/>
      <c r="C200" s="26"/>
      <c r="D200" s="26"/>
      <c r="E200" s="26"/>
      <c r="F200" s="26"/>
    </row>
    <row r="201" spans="1:6">
      <c r="A201" s="26"/>
      <c r="B201" s="26"/>
      <c r="C201" s="26"/>
      <c r="D201" s="26"/>
      <c r="E201" s="26"/>
      <c r="F201" s="26"/>
    </row>
    <row r="202" spans="1:6">
      <c r="A202" s="26"/>
      <c r="B202" s="26"/>
      <c r="C202" s="26"/>
      <c r="D202" s="26"/>
      <c r="E202" s="26"/>
      <c r="F202" s="26"/>
    </row>
    <row r="203" spans="1:6">
      <c r="A203" s="26"/>
      <c r="B203" s="26"/>
      <c r="C203" s="26"/>
      <c r="D203" s="26"/>
      <c r="E203" s="26"/>
      <c r="F203" s="26"/>
    </row>
    <row r="204" spans="1:6">
      <c r="A204" s="26"/>
      <c r="B204" s="26"/>
      <c r="C204" s="26"/>
      <c r="D204" s="26"/>
      <c r="E204" s="26"/>
      <c r="F204" s="26"/>
    </row>
    <row r="205" spans="1:6">
      <c r="A205" s="26"/>
      <c r="B205" s="26"/>
      <c r="C205" s="26"/>
      <c r="D205" s="26"/>
      <c r="E205" s="26"/>
      <c r="F205" s="26"/>
    </row>
    <row r="206" spans="1:6">
      <c r="A206" s="26"/>
      <c r="B206" s="26"/>
      <c r="C206" s="26"/>
      <c r="D206" s="26"/>
      <c r="E206" s="26"/>
      <c r="F206" s="26"/>
    </row>
    <row r="207" spans="1:6">
      <c r="A207" s="26"/>
      <c r="B207" s="26"/>
      <c r="C207" s="26"/>
      <c r="D207" s="26"/>
      <c r="E207" s="26"/>
      <c r="F207" s="26"/>
    </row>
    <row r="208" spans="1:6">
      <c r="A208" s="26"/>
      <c r="B208" s="26"/>
      <c r="C208" s="26"/>
      <c r="D208" s="26"/>
      <c r="E208" s="26"/>
      <c r="F208" s="26"/>
    </row>
    <row r="209" spans="1:6">
      <c r="A209" s="26"/>
      <c r="B209" s="26"/>
      <c r="C209" s="26"/>
      <c r="D209" s="26"/>
      <c r="E209" s="26"/>
      <c r="F209" s="26"/>
    </row>
    <row r="210" spans="1:6">
      <c r="A210" s="26"/>
      <c r="B210" s="26"/>
      <c r="C210" s="26"/>
      <c r="D210" s="26"/>
      <c r="E210" s="26"/>
      <c r="F210" s="26"/>
    </row>
    <row r="211" spans="1:6">
      <c r="A211" s="26"/>
      <c r="B211" s="26"/>
      <c r="C211" s="26"/>
      <c r="D211" s="26"/>
      <c r="E211" s="26"/>
      <c r="F211" s="26"/>
    </row>
    <row r="212" spans="1:6">
      <c r="A212" s="26"/>
      <c r="B212" s="26"/>
      <c r="C212" s="26"/>
      <c r="D212" s="26"/>
      <c r="E212" s="26"/>
      <c r="F212" s="26"/>
    </row>
    <row r="213" spans="1:6">
      <c r="A213" s="26"/>
      <c r="B213" s="26"/>
      <c r="C213" s="26"/>
      <c r="D213" s="26"/>
      <c r="E213" s="26"/>
      <c r="F213" s="26"/>
    </row>
    <row r="214" spans="1:6">
      <c r="A214" s="26"/>
      <c r="B214" s="26"/>
      <c r="C214" s="26"/>
      <c r="D214" s="26"/>
      <c r="E214" s="26"/>
      <c r="F214" s="26"/>
    </row>
    <row r="215" spans="1:6">
      <c r="A215" s="26"/>
      <c r="B215" s="26"/>
      <c r="C215" s="26"/>
      <c r="D215" s="26"/>
      <c r="E215" s="26"/>
      <c r="F215" s="26"/>
    </row>
    <row r="216" spans="1:6">
      <c r="A216" s="26"/>
      <c r="B216" s="26"/>
      <c r="C216" s="26"/>
      <c r="D216" s="26"/>
      <c r="E216" s="26"/>
      <c r="F216" s="26"/>
    </row>
    <row r="217" spans="1:6">
      <c r="A217" s="26"/>
      <c r="B217" s="26"/>
      <c r="C217" s="26"/>
      <c r="D217" s="26"/>
      <c r="E217" s="26"/>
      <c r="F217" s="26"/>
    </row>
    <row r="218" spans="1:6">
      <c r="A218" s="26"/>
      <c r="B218" s="26"/>
      <c r="C218" s="26"/>
      <c r="D218" s="26"/>
      <c r="E218" s="26"/>
      <c r="F218" s="26"/>
    </row>
    <row r="219" spans="1:6">
      <c r="A219" s="26"/>
      <c r="B219" s="26"/>
      <c r="C219" s="26"/>
      <c r="D219" s="26"/>
      <c r="E219" s="26"/>
      <c r="F219" s="26"/>
    </row>
    <row r="220" spans="1:6">
      <c r="A220" s="26"/>
      <c r="B220" s="26"/>
      <c r="C220" s="26"/>
      <c r="D220" s="26"/>
      <c r="E220" s="26"/>
      <c r="F220" s="26"/>
    </row>
    <row r="221" spans="1:6">
      <c r="A221" s="26"/>
      <c r="B221" s="26"/>
      <c r="C221" s="26"/>
      <c r="D221" s="26"/>
      <c r="E221" s="26"/>
      <c r="F221" s="26"/>
    </row>
    <row r="222" spans="1:6">
      <c r="A222" s="26"/>
      <c r="B222" s="26"/>
      <c r="C222" s="26"/>
      <c r="D222" s="26"/>
      <c r="E222" s="26"/>
      <c r="F222" s="26"/>
    </row>
    <row r="223" spans="1:6">
      <c r="A223" s="26"/>
      <c r="B223" s="26"/>
      <c r="C223" s="26"/>
      <c r="D223" s="26"/>
      <c r="E223" s="26"/>
      <c r="F223" s="26"/>
    </row>
    <row r="224" spans="1:6">
      <c r="A224" s="26"/>
      <c r="B224" s="26"/>
      <c r="C224" s="26"/>
      <c r="D224" s="26"/>
      <c r="E224" s="26"/>
      <c r="F224" s="26"/>
    </row>
    <row r="225" spans="1:6">
      <c r="A225" s="26"/>
      <c r="B225" s="26"/>
      <c r="C225" s="26"/>
      <c r="D225" s="26"/>
      <c r="E225" s="26"/>
      <c r="F225" s="26"/>
    </row>
    <row r="226" spans="1:6">
      <c r="A226" s="26"/>
      <c r="B226" s="26"/>
      <c r="C226" s="26"/>
      <c r="D226" s="26"/>
      <c r="E226" s="26"/>
      <c r="F226" s="26"/>
    </row>
    <row r="227" spans="1:6">
      <c r="A227" s="26"/>
      <c r="B227" s="26"/>
      <c r="C227" s="26"/>
      <c r="D227" s="26"/>
      <c r="E227" s="26"/>
      <c r="F227" s="26"/>
    </row>
    <row r="228" spans="1:6">
      <c r="A228" s="26"/>
      <c r="B228" s="26"/>
      <c r="C228" s="26"/>
      <c r="D228" s="26"/>
      <c r="E228" s="26"/>
      <c r="F228" s="26"/>
    </row>
    <row r="229" spans="1:6">
      <c r="A229" s="26"/>
      <c r="B229" s="26"/>
      <c r="C229" s="26"/>
      <c r="D229" s="26"/>
      <c r="E229" s="26"/>
      <c r="F229" s="26"/>
    </row>
    <row r="230" spans="1:6">
      <c r="A230" s="26"/>
      <c r="B230" s="26"/>
      <c r="C230" s="26"/>
      <c r="D230" s="26"/>
      <c r="E230" s="26"/>
      <c r="F230" s="26"/>
    </row>
    <row r="231" spans="1:6">
      <c r="A231" s="26"/>
      <c r="B231" s="26"/>
      <c r="C231" s="26"/>
      <c r="D231" s="26"/>
      <c r="E231" s="26"/>
      <c r="F231" s="26"/>
    </row>
    <row r="232" spans="1:6">
      <c r="A232" s="26"/>
      <c r="B232" s="26"/>
      <c r="C232" s="26"/>
      <c r="D232" s="26"/>
      <c r="E232" s="26"/>
      <c r="F232" s="26"/>
    </row>
    <row r="233" spans="1:6">
      <c r="A233" s="26"/>
      <c r="B233" s="26"/>
      <c r="C233" s="26"/>
      <c r="D233" s="26"/>
      <c r="E233" s="26"/>
      <c r="F233" s="26"/>
    </row>
    <row r="234" spans="1:6">
      <c r="A234" s="26"/>
      <c r="B234" s="26"/>
      <c r="C234" s="26"/>
      <c r="D234" s="26"/>
      <c r="E234" s="26"/>
      <c r="F234" s="26"/>
    </row>
    <row r="235" spans="1:6">
      <c r="A235" s="26"/>
      <c r="B235" s="26"/>
      <c r="C235" s="26"/>
      <c r="D235" s="26"/>
      <c r="E235" s="26"/>
      <c r="F235" s="26"/>
    </row>
    <row r="236" spans="1:6">
      <c r="A236" s="26"/>
      <c r="B236" s="26"/>
      <c r="C236" s="26"/>
      <c r="D236" s="26"/>
      <c r="E236" s="26"/>
      <c r="F236" s="26"/>
    </row>
    <row r="237" spans="1:6">
      <c r="A237" s="26"/>
      <c r="B237" s="26"/>
      <c r="C237" s="26"/>
      <c r="D237" s="26"/>
      <c r="E237" s="26"/>
      <c r="F237" s="26"/>
    </row>
    <row r="238" spans="1:6">
      <c r="A238" s="26"/>
      <c r="B238" s="26"/>
      <c r="C238" s="26"/>
      <c r="D238" s="26"/>
      <c r="E238" s="26"/>
      <c r="F238" s="26"/>
    </row>
    <row r="239" spans="1:6">
      <c r="A239" s="26"/>
      <c r="B239" s="26"/>
      <c r="C239" s="26"/>
      <c r="D239" s="26"/>
      <c r="E239" s="26"/>
      <c r="F239" s="26"/>
    </row>
    <row r="240" spans="1:6">
      <c r="A240" s="26"/>
      <c r="B240" s="26"/>
      <c r="C240" s="26"/>
      <c r="D240" s="26"/>
      <c r="E240" s="26"/>
      <c r="F240" s="26"/>
    </row>
    <row r="241" spans="1:6">
      <c r="A241" s="26"/>
      <c r="B241" s="26"/>
      <c r="C241" s="26"/>
      <c r="D241" s="26"/>
      <c r="E241" s="26"/>
      <c r="F241" s="26"/>
    </row>
    <row r="242" spans="1:6">
      <c r="A242" s="26"/>
      <c r="B242" s="26"/>
      <c r="C242" s="26"/>
      <c r="D242" s="26"/>
      <c r="E242" s="26"/>
      <c r="F242" s="26"/>
    </row>
    <row r="243" spans="1:6">
      <c r="A243" s="26"/>
      <c r="B243" s="26"/>
      <c r="C243" s="26"/>
      <c r="D243" s="26"/>
      <c r="E243" s="26"/>
      <c r="F243" s="26"/>
    </row>
    <row r="244" spans="1:6">
      <c r="A244" s="26"/>
      <c r="B244" s="26"/>
      <c r="C244" s="26"/>
      <c r="D244" s="26"/>
      <c r="E244" s="26"/>
      <c r="F244" s="26"/>
    </row>
    <row r="245" spans="1:6">
      <c r="A245" s="26"/>
      <c r="B245" s="26"/>
      <c r="C245" s="26"/>
      <c r="D245" s="26"/>
      <c r="E245" s="26"/>
      <c r="F245" s="26"/>
    </row>
    <row r="246" spans="1:6">
      <c r="A246" s="26"/>
      <c r="B246" s="26"/>
      <c r="C246" s="26"/>
      <c r="D246" s="26"/>
      <c r="E246" s="26"/>
      <c r="F246" s="26"/>
    </row>
    <row r="247" spans="1:6">
      <c r="A247" s="26"/>
      <c r="B247" s="26"/>
      <c r="C247" s="26"/>
      <c r="D247" s="26"/>
      <c r="E247" s="26"/>
      <c r="F247" s="26"/>
    </row>
    <row r="248" spans="1:6">
      <c r="A248" s="26"/>
      <c r="B248" s="26"/>
      <c r="C248" s="26"/>
      <c r="D248" s="26"/>
      <c r="E248" s="26"/>
      <c r="F248" s="26"/>
    </row>
    <row r="249" spans="1:6">
      <c r="A249" s="26"/>
      <c r="B249" s="26"/>
      <c r="C249" s="26"/>
      <c r="D249" s="26"/>
      <c r="E249" s="26"/>
      <c r="F249" s="26"/>
    </row>
    <row r="250" spans="1:6">
      <c r="A250" s="26"/>
      <c r="B250" s="26"/>
      <c r="C250" s="26"/>
      <c r="D250" s="26"/>
      <c r="E250" s="26"/>
      <c r="F250" s="26"/>
    </row>
    <row r="251" spans="1:6">
      <c r="A251" s="26"/>
      <c r="B251" s="26"/>
      <c r="C251" s="26"/>
      <c r="D251" s="26"/>
      <c r="E251" s="26"/>
      <c r="F251" s="26"/>
    </row>
    <row r="252" spans="1:6">
      <c r="A252" s="26"/>
      <c r="B252" s="26"/>
      <c r="C252" s="26"/>
      <c r="D252" s="26"/>
      <c r="E252" s="26"/>
      <c r="F252" s="26"/>
    </row>
    <row r="253" spans="1:6">
      <c r="A253" s="26"/>
      <c r="B253" s="26"/>
      <c r="C253" s="26"/>
      <c r="D253" s="26"/>
      <c r="E253" s="26"/>
      <c r="F253" s="26"/>
    </row>
    <row r="254" spans="1:6">
      <c r="A254" s="26"/>
      <c r="B254" s="26"/>
      <c r="C254" s="26"/>
      <c r="D254" s="26"/>
      <c r="E254" s="26"/>
      <c r="F254" s="26"/>
    </row>
    <row r="255" spans="1:6">
      <c r="A255" s="26"/>
      <c r="B255" s="26"/>
      <c r="C255" s="26"/>
      <c r="D255" s="26"/>
      <c r="E255" s="26"/>
      <c r="F255" s="26"/>
    </row>
    <row r="256" spans="1:6">
      <c r="A256" s="26"/>
      <c r="B256" s="26"/>
      <c r="C256" s="26"/>
      <c r="D256" s="26"/>
      <c r="E256" s="26"/>
      <c r="F256" s="26"/>
    </row>
    <row r="257" spans="1:6">
      <c r="A257" s="26"/>
      <c r="B257" s="26"/>
      <c r="C257" s="26"/>
      <c r="D257" s="26"/>
      <c r="E257" s="26"/>
      <c r="F257" s="26"/>
    </row>
    <row r="258" spans="1:6">
      <c r="A258" s="26"/>
      <c r="B258" s="26"/>
      <c r="C258" s="26"/>
      <c r="D258" s="26"/>
      <c r="E258" s="26"/>
      <c r="F258" s="26"/>
    </row>
    <row r="259" spans="1:6">
      <c r="A259" s="26"/>
      <c r="B259" s="26"/>
      <c r="C259" s="26"/>
      <c r="D259" s="26"/>
      <c r="E259" s="26"/>
      <c r="F259" s="26"/>
    </row>
    <row r="260" spans="1:6">
      <c r="A260" s="26"/>
      <c r="B260" s="26"/>
      <c r="C260" s="26"/>
      <c r="D260" s="26"/>
      <c r="E260" s="26"/>
      <c r="F260" s="26"/>
    </row>
    <row r="261" spans="1:6">
      <c r="A261" s="26"/>
      <c r="B261" s="26"/>
      <c r="C261" s="26"/>
      <c r="D261" s="26"/>
      <c r="E261" s="26"/>
      <c r="F261" s="26"/>
    </row>
    <row r="262" spans="1:6">
      <c r="A262" s="26"/>
      <c r="B262" s="26"/>
      <c r="C262" s="26"/>
      <c r="D262" s="26"/>
      <c r="E262" s="26"/>
      <c r="F262" s="26"/>
    </row>
    <row r="263" spans="1:6">
      <c r="A263" s="26"/>
      <c r="B263" s="26"/>
      <c r="C263" s="26"/>
      <c r="D263" s="26"/>
      <c r="E263" s="26"/>
      <c r="F263" s="26"/>
    </row>
    <row r="264" spans="1:6">
      <c r="A264" s="26"/>
      <c r="B264" s="26"/>
      <c r="C264" s="26"/>
      <c r="D264" s="26"/>
      <c r="E264" s="26"/>
      <c r="F264" s="26"/>
    </row>
    <row r="265" spans="1:6">
      <c r="A265" s="26"/>
      <c r="B265" s="26"/>
      <c r="C265" s="26"/>
      <c r="D265" s="26"/>
      <c r="E265" s="26"/>
      <c r="F265" s="26"/>
    </row>
    <row r="266" spans="1:6">
      <c r="A266" s="26"/>
      <c r="B266" s="26"/>
      <c r="C266" s="26"/>
      <c r="D266" s="26"/>
      <c r="E266" s="26"/>
      <c r="F266" s="26"/>
    </row>
    <row r="267" spans="1:6">
      <c r="A267" s="26"/>
      <c r="B267" s="26"/>
      <c r="C267" s="26"/>
      <c r="D267" s="26"/>
      <c r="E267" s="26"/>
      <c r="F267" s="26"/>
    </row>
    <row r="268" spans="1:6">
      <c r="A268" s="26"/>
      <c r="B268" s="26"/>
      <c r="C268" s="26"/>
      <c r="D268" s="26"/>
      <c r="E268" s="26"/>
      <c r="F268" s="26"/>
    </row>
    <row r="269" spans="1:6">
      <c r="A269" s="26"/>
      <c r="B269" s="26"/>
      <c r="C269" s="26"/>
      <c r="D269" s="26"/>
      <c r="E269" s="26"/>
      <c r="F269" s="26"/>
    </row>
    <row r="270" spans="1:6">
      <c r="A270" s="26"/>
      <c r="B270" s="26"/>
      <c r="C270" s="26"/>
      <c r="D270" s="26"/>
      <c r="E270" s="26"/>
      <c r="F270" s="26"/>
    </row>
    <row r="271" spans="1:6">
      <c r="A271" s="26"/>
      <c r="B271" s="26"/>
      <c r="C271" s="26"/>
      <c r="D271" s="26"/>
      <c r="E271" s="26"/>
      <c r="F271" s="26"/>
    </row>
    <row r="272" spans="1:6">
      <c r="A272" s="26"/>
      <c r="B272" s="26"/>
      <c r="C272" s="26"/>
      <c r="D272" s="26"/>
      <c r="E272" s="26"/>
      <c r="F272" s="26"/>
    </row>
    <row r="273" spans="1:6">
      <c r="A273" s="26"/>
      <c r="B273" s="26"/>
      <c r="C273" s="26"/>
      <c r="D273" s="26"/>
      <c r="E273" s="26"/>
      <c r="F273" s="26"/>
    </row>
    <row r="274" spans="1:6">
      <c r="A274" s="26"/>
      <c r="B274" s="26"/>
      <c r="C274" s="26"/>
      <c r="D274" s="26"/>
      <c r="E274" s="26"/>
      <c r="F274" s="26"/>
    </row>
    <row r="275" spans="1:6">
      <c r="A275" s="26"/>
      <c r="B275" s="26"/>
      <c r="C275" s="26"/>
      <c r="D275" s="26"/>
      <c r="E275" s="26"/>
      <c r="F275" s="26"/>
    </row>
    <row r="276" spans="1:6">
      <c r="A276" s="26"/>
      <c r="B276" s="26"/>
      <c r="C276" s="26"/>
      <c r="D276" s="26"/>
      <c r="E276" s="26"/>
      <c r="F276" s="26"/>
    </row>
  </sheetData>
  <pageMargins left="0.7" right="0.7" top="0.75" bottom="0.75" header="0.3" footer="0.3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835C-64D4-46B9-933C-B722A5F716DA}">
  <dimension ref="A1:G276"/>
  <sheetViews>
    <sheetView topLeftCell="A7" workbookViewId="0">
      <selection activeCell="H2" sqref="H2:H18"/>
    </sheetView>
  </sheetViews>
  <sheetFormatPr defaultColWidth="34.7109375" defaultRowHeight="15" customHeight="1"/>
  <cols>
    <col min="1" max="5" width="34.7109375" style="1"/>
    <col min="6" max="6" width="18.7109375" style="1" bestFit="1" customWidth="1"/>
    <col min="7" max="7" width="12" style="1" bestFit="1" customWidth="1"/>
    <col min="8" max="16384" width="34.7109375" style="1"/>
  </cols>
  <sheetData>
    <row r="1" spans="2:7"/>
    <row r="2" spans="2:7">
      <c r="B2" s="25" t="s">
        <v>6</v>
      </c>
      <c r="C2" s="25" t="s">
        <v>0</v>
      </c>
      <c r="D2" s="25" t="s">
        <v>1</v>
      </c>
      <c r="E2" s="25" t="s">
        <v>2</v>
      </c>
      <c r="F2" s="25" t="s">
        <v>4</v>
      </c>
      <c r="G2" s="25" t="s">
        <v>7</v>
      </c>
    </row>
    <row r="3" spans="2:7" ht="30.75">
      <c r="B3" s="1" t="s">
        <v>17</v>
      </c>
      <c r="C3" s="1" t="s">
        <v>45</v>
      </c>
      <c r="D3" s="1" t="s">
        <v>46</v>
      </c>
      <c r="E3" s="1" t="s">
        <v>14</v>
      </c>
      <c r="F3" s="1" t="s">
        <v>15</v>
      </c>
      <c r="G3" s="1" t="s">
        <v>18</v>
      </c>
    </row>
    <row r="4" spans="2:7" ht="45.75">
      <c r="C4" s="1" t="s">
        <v>53</v>
      </c>
      <c r="D4" s="1" t="s">
        <v>54</v>
      </c>
      <c r="E4" s="1" t="s">
        <v>14</v>
      </c>
      <c r="F4" s="1" t="s">
        <v>15</v>
      </c>
      <c r="G4" s="1" t="s">
        <v>18</v>
      </c>
    </row>
    <row r="5" spans="2:7" ht="60.75">
      <c r="C5" s="1" t="s">
        <v>57</v>
      </c>
      <c r="D5" s="1" t="s">
        <v>58</v>
      </c>
      <c r="E5" s="1" t="s">
        <v>14</v>
      </c>
      <c r="F5" s="1" t="s">
        <v>15</v>
      </c>
      <c r="G5" s="1" t="s">
        <v>18</v>
      </c>
    </row>
    <row r="6" spans="2:7" ht="30.75">
      <c r="C6" s="1" t="s">
        <v>12</v>
      </c>
      <c r="D6" s="1" t="s">
        <v>13</v>
      </c>
      <c r="E6" s="1" t="s">
        <v>14</v>
      </c>
      <c r="F6" s="1" t="s">
        <v>15</v>
      </c>
      <c r="G6" s="1" t="s">
        <v>18</v>
      </c>
    </row>
    <row r="7" spans="2:7" ht="45.75">
      <c r="C7" s="1" t="s">
        <v>39</v>
      </c>
      <c r="D7" s="1" t="s">
        <v>40</v>
      </c>
      <c r="E7" s="1" t="s">
        <v>14</v>
      </c>
      <c r="F7" s="1" t="s">
        <v>15</v>
      </c>
      <c r="G7" s="1" t="s">
        <v>18</v>
      </c>
    </row>
    <row r="8" spans="2:7">
      <c r="C8" s="1" t="s">
        <v>55</v>
      </c>
      <c r="D8" s="1" t="s">
        <v>56</v>
      </c>
      <c r="E8" s="1" t="s">
        <v>14</v>
      </c>
      <c r="F8" s="1" t="s">
        <v>15</v>
      </c>
      <c r="G8" s="1" t="s">
        <v>23</v>
      </c>
    </row>
    <row r="9" spans="2:7" ht="30.75">
      <c r="C9" s="1" t="s">
        <v>49</v>
      </c>
      <c r="D9" s="1" t="s">
        <v>50</v>
      </c>
      <c r="E9" s="1" t="s">
        <v>14</v>
      </c>
      <c r="F9" s="1" t="s">
        <v>15</v>
      </c>
      <c r="G9" s="1" t="s">
        <v>23</v>
      </c>
    </row>
    <row r="10" spans="2:7" ht="45.75">
      <c r="C10" s="1" t="s">
        <v>43</v>
      </c>
      <c r="D10" s="1" t="s">
        <v>44</v>
      </c>
      <c r="E10" s="1" t="s">
        <v>14</v>
      </c>
      <c r="F10" s="1" t="s">
        <v>15</v>
      </c>
      <c r="G10" s="1" t="s">
        <v>32</v>
      </c>
    </row>
    <row r="11" spans="2:7" ht="30.75">
      <c r="C11" s="1" t="s">
        <v>35</v>
      </c>
      <c r="D11" s="1" t="s">
        <v>36</v>
      </c>
      <c r="E11" s="1" t="s">
        <v>14</v>
      </c>
      <c r="F11" s="1" t="s">
        <v>15</v>
      </c>
      <c r="G11" s="1" t="s">
        <v>18</v>
      </c>
    </row>
    <row r="12" spans="2:7" ht="30.75">
      <c r="C12" s="1" t="s">
        <v>47</v>
      </c>
      <c r="D12" s="1" t="s">
        <v>48</v>
      </c>
      <c r="E12" s="1" t="s">
        <v>14</v>
      </c>
      <c r="F12" s="1" t="s">
        <v>15</v>
      </c>
      <c r="G12" s="1" t="s">
        <v>32</v>
      </c>
    </row>
    <row r="13" spans="2:7" ht="30.75">
      <c r="C13" s="1" t="s">
        <v>26</v>
      </c>
      <c r="D13" s="1" t="s">
        <v>27</v>
      </c>
      <c r="E13" s="1" t="s">
        <v>14</v>
      </c>
      <c r="F13" s="1" t="s">
        <v>15</v>
      </c>
      <c r="G13" s="1" t="s">
        <v>23</v>
      </c>
    </row>
    <row r="14" spans="2:7" ht="45.75">
      <c r="C14" s="1" t="s">
        <v>61</v>
      </c>
      <c r="D14" s="1" t="s">
        <v>62</v>
      </c>
      <c r="E14" s="1" t="s">
        <v>63</v>
      </c>
      <c r="F14" s="1" t="s">
        <v>15</v>
      </c>
      <c r="G14" s="1" t="s">
        <v>23</v>
      </c>
    </row>
    <row r="15" spans="2:7" ht="30.75">
      <c r="C15" s="1" t="s">
        <v>59</v>
      </c>
      <c r="D15" s="1" t="s">
        <v>60</v>
      </c>
      <c r="E15" s="1" t="s">
        <v>14</v>
      </c>
      <c r="F15" s="1" t="s">
        <v>15</v>
      </c>
      <c r="G15" s="1" t="s">
        <v>18</v>
      </c>
    </row>
    <row r="16" spans="2:7" ht="60.75">
      <c r="C16" s="1" t="s">
        <v>30</v>
      </c>
      <c r="D16" s="1" t="s">
        <v>31</v>
      </c>
      <c r="E16" s="1" t="s">
        <v>14</v>
      </c>
      <c r="F16" s="1" t="s">
        <v>15</v>
      </c>
      <c r="G16" s="1" t="s">
        <v>32</v>
      </c>
    </row>
    <row r="17" spans="2:7" ht="30.75">
      <c r="C17" s="1" t="s">
        <v>51</v>
      </c>
      <c r="D17" s="1" t="s">
        <v>52</v>
      </c>
      <c r="E17" s="1" t="s">
        <v>14</v>
      </c>
      <c r="F17" s="1" t="s">
        <v>15</v>
      </c>
      <c r="G17" s="1" t="s">
        <v>18</v>
      </c>
    </row>
    <row r="18" spans="2:7">
      <c r="C18" s="1" t="s">
        <v>21</v>
      </c>
      <c r="D18" s="1" t="s">
        <v>22</v>
      </c>
      <c r="E18" s="1" t="s">
        <v>14</v>
      </c>
      <c r="F18" s="1" t="s">
        <v>15</v>
      </c>
      <c r="G18" s="1" t="s">
        <v>23</v>
      </c>
    </row>
    <row r="19" spans="2:7">
      <c r="B19" s="26"/>
      <c r="C19" s="26"/>
      <c r="D19" s="26"/>
      <c r="E19" s="26"/>
      <c r="F19" s="26"/>
      <c r="G19" s="26"/>
    </row>
    <row r="20" spans="2:7">
      <c r="B20" s="26"/>
      <c r="C20" s="26"/>
      <c r="D20" s="26"/>
      <c r="E20" s="26"/>
      <c r="F20" s="26"/>
      <c r="G20" s="26"/>
    </row>
    <row r="21" spans="2:7">
      <c r="B21" s="26"/>
      <c r="C21" s="26"/>
      <c r="D21" s="26"/>
      <c r="E21" s="26"/>
      <c r="F21" s="26"/>
      <c r="G21" s="26"/>
    </row>
    <row r="22" spans="2:7">
      <c r="B22" s="26"/>
      <c r="C22" s="26"/>
      <c r="D22" s="26"/>
      <c r="E22" s="26"/>
      <c r="F22" s="26"/>
      <c r="G22" s="26"/>
    </row>
    <row r="23" spans="2:7">
      <c r="B23" s="26"/>
      <c r="C23" s="26"/>
      <c r="D23" s="26"/>
      <c r="E23" s="26"/>
      <c r="F23" s="26"/>
      <c r="G23" s="26"/>
    </row>
    <row r="24" spans="2:7">
      <c r="B24" s="26"/>
      <c r="C24" s="26"/>
      <c r="D24" s="26"/>
      <c r="E24" s="26"/>
      <c r="F24" s="26"/>
      <c r="G24" s="26"/>
    </row>
    <row r="25" spans="2:7">
      <c r="B25" s="26"/>
      <c r="C25" s="26"/>
      <c r="D25" s="26"/>
      <c r="E25" s="26"/>
      <c r="F25" s="26"/>
      <c r="G25" s="26"/>
    </row>
    <row r="26" spans="2:7">
      <c r="B26" s="26"/>
      <c r="C26" s="26"/>
      <c r="D26" s="26"/>
      <c r="E26" s="26"/>
      <c r="F26" s="26"/>
      <c r="G26" s="26"/>
    </row>
    <row r="27" spans="2:7">
      <c r="B27" s="26"/>
      <c r="C27" s="26"/>
      <c r="D27" s="26"/>
      <c r="E27" s="26"/>
      <c r="F27" s="26"/>
      <c r="G27" s="26"/>
    </row>
    <row r="28" spans="2:7">
      <c r="B28" s="26"/>
      <c r="C28" s="26"/>
      <c r="D28" s="26"/>
      <c r="E28" s="26"/>
      <c r="F28" s="26"/>
      <c r="G28" s="26"/>
    </row>
    <row r="29" spans="2:7">
      <c r="B29" s="26"/>
      <c r="C29" s="26"/>
      <c r="D29" s="26"/>
      <c r="E29" s="26"/>
      <c r="F29" s="26"/>
      <c r="G29" s="26"/>
    </row>
    <row r="30" spans="2:7">
      <c r="B30" s="26"/>
      <c r="C30" s="26"/>
      <c r="D30" s="26"/>
      <c r="E30" s="26"/>
      <c r="F30" s="26"/>
      <c r="G30" s="26"/>
    </row>
    <row r="31" spans="2:7">
      <c r="B31" s="26"/>
      <c r="C31" s="26"/>
      <c r="D31" s="26"/>
      <c r="E31" s="26"/>
      <c r="F31" s="26"/>
      <c r="G31" s="26"/>
    </row>
    <row r="32" spans="2:7">
      <c r="B32" s="26"/>
      <c r="C32" s="26"/>
      <c r="D32" s="26"/>
      <c r="E32" s="26"/>
      <c r="F32" s="26"/>
      <c r="G32" s="26"/>
    </row>
    <row r="33" spans="2:7">
      <c r="B33" s="26"/>
      <c r="C33" s="26"/>
      <c r="D33" s="26"/>
      <c r="E33" s="26"/>
      <c r="F33" s="26"/>
      <c r="G33" s="26"/>
    </row>
    <row r="34" spans="2:7">
      <c r="B34" s="26"/>
      <c r="C34" s="26"/>
      <c r="D34" s="26"/>
      <c r="E34" s="26"/>
      <c r="F34" s="26"/>
      <c r="G34" s="26"/>
    </row>
    <row r="35" spans="2:7">
      <c r="B35" s="26"/>
      <c r="C35" s="26"/>
      <c r="D35" s="26"/>
      <c r="E35" s="26"/>
      <c r="F35" s="26"/>
      <c r="G35" s="26"/>
    </row>
    <row r="36" spans="2:7">
      <c r="B36" s="26"/>
      <c r="C36" s="26"/>
      <c r="D36" s="26"/>
      <c r="E36" s="26"/>
      <c r="F36" s="26"/>
      <c r="G36" s="26"/>
    </row>
    <row r="37" spans="2:7">
      <c r="B37" s="26"/>
      <c r="C37" s="26"/>
      <c r="D37" s="26"/>
      <c r="E37" s="26"/>
      <c r="F37" s="26"/>
      <c r="G37" s="26"/>
    </row>
    <row r="38" spans="2:7">
      <c r="B38" s="26"/>
      <c r="C38" s="26"/>
      <c r="D38" s="26"/>
      <c r="E38" s="26"/>
      <c r="F38" s="26"/>
      <c r="G38" s="26"/>
    </row>
    <row r="39" spans="2:7">
      <c r="B39" s="26"/>
      <c r="C39" s="26"/>
      <c r="D39" s="26"/>
      <c r="E39" s="26"/>
      <c r="F39" s="26"/>
      <c r="G39" s="26"/>
    </row>
    <row r="40" spans="2:7">
      <c r="B40" s="26"/>
      <c r="C40" s="26"/>
      <c r="D40" s="26"/>
      <c r="E40" s="26"/>
      <c r="F40" s="26"/>
      <c r="G40" s="26"/>
    </row>
    <row r="41" spans="2:7">
      <c r="B41" s="26"/>
      <c r="C41" s="26"/>
      <c r="D41" s="26"/>
      <c r="E41" s="26"/>
      <c r="F41" s="26"/>
      <c r="G41" s="26"/>
    </row>
    <row r="42" spans="2:7">
      <c r="B42" s="26"/>
      <c r="C42" s="26"/>
      <c r="D42" s="26"/>
      <c r="E42" s="26"/>
      <c r="F42" s="26"/>
      <c r="G42" s="26"/>
    </row>
    <row r="43" spans="2:7">
      <c r="B43" s="26"/>
      <c r="C43" s="26"/>
      <c r="D43" s="26"/>
      <c r="E43" s="26"/>
      <c r="F43" s="26"/>
      <c r="G43" s="26"/>
    </row>
    <row r="44" spans="2:7">
      <c r="B44" s="26"/>
      <c r="C44" s="26"/>
      <c r="D44" s="26"/>
      <c r="E44" s="26"/>
      <c r="F44" s="26"/>
      <c r="G44" s="26"/>
    </row>
    <row r="45" spans="2:7">
      <c r="B45" s="26"/>
      <c r="C45" s="26"/>
      <c r="D45" s="26"/>
      <c r="E45" s="26"/>
      <c r="F45" s="26"/>
      <c r="G45" s="26"/>
    </row>
    <row r="46" spans="2:7">
      <c r="B46" s="26"/>
      <c r="C46" s="26"/>
      <c r="D46" s="26"/>
      <c r="E46" s="26"/>
      <c r="F46" s="26"/>
      <c r="G46" s="26"/>
    </row>
    <row r="47" spans="2:7">
      <c r="B47" s="26"/>
      <c r="C47" s="26"/>
      <c r="D47" s="26"/>
      <c r="E47" s="26"/>
      <c r="F47" s="26"/>
      <c r="G47" s="26"/>
    </row>
    <row r="48" spans="2:7">
      <c r="B48" s="26"/>
      <c r="C48" s="26"/>
      <c r="D48" s="26"/>
      <c r="E48" s="26"/>
      <c r="F48" s="26"/>
      <c r="G48" s="26"/>
    </row>
    <row r="49" spans="1:7">
      <c r="B49" s="26"/>
      <c r="C49" s="26"/>
      <c r="D49" s="26"/>
      <c r="E49" s="26"/>
      <c r="F49" s="26"/>
      <c r="G49" s="26"/>
    </row>
    <row r="50" spans="1:7">
      <c r="B50" s="26"/>
      <c r="C50" s="26"/>
      <c r="D50" s="26"/>
      <c r="E50" s="26"/>
      <c r="F50" s="26"/>
      <c r="G50" s="26"/>
    </row>
    <row r="51" spans="1:7">
      <c r="B51" s="26"/>
      <c r="C51" s="26"/>
      <c r="D51" s="26"/>
      <c r="E51" s="26"/>
      <c r="F51" s="26"/>
      <c r="G51" s="26"/>
    </row>
    <row r="52" spans="1:7">
      <c r="B52" s="26"/>
      <c r="C52" s="26"/>
      <c r="D52" s="26"/>
      <c r="E52" s="26"/>
      <c r="F52" s="26"/>
      <c r="G52" s="26"/>
    </row>
    <row r="53" spans="1:7">
      <c r="B53" s="26"/>
      <c r="C53" s="26"/>
      <c r="D53" s="26"/>
      <c r="E53" s="26"/>
      <c r="F53" s="26"/>
      <c r="G53" s="26"/>
    </row>
    <row r="54" spans="1:7">
      <c r="B54" s="26"/>
      <c r="C54" s="26"/>
      <c r="D54" s="26"/>
      <c r="E54" s="26"/>
      <c r="F54" s="26"/>
      <c r="G54" s="26"/>
    </row>
    <row r="55" spans="1:7">
      <c r="B55" s="26"/>
      <c r="C55" s="26"/>
      <c r="D55" s="26"/>
      <c r="E55" s="26"/>
      <c r="F55" s="26"/>
      <c r="G55" s="26"/>
    </row>
    <row r="56" spans="1:7">
      <c r="B56" s="26"/>
      <c r="C56" s="26"/>
      <c r="D56" s="26"/>
      <c r="E56" s="26"/>
      <c r="F56" s="26"/>
      <c r="G56" s="26"/>
    </row>
    <row r="57" spans="1:7">
      <c r="A57" s="26"/>
      <c r="B57" s="26"/>
      <c r="C57" s="26"/>
      <c r="D57" s="26"/>
      <c r="E57" s="26"/>
      <c r="F57" s="26"/>
    </row>
    <row r="58" spans="1:7">
      <c r="A58" s="26"/>
      <c r="B58" s="26"/>
      <c r="C58" s="26"/>
      <c r="D58" s="26"/>
      <c r="E58" s="26"/>
      <c r="F58" s="26"/>
    </row>
    <row r="59" spans="1:7">
      <c r="A59" s="26"/>
      <c r="B59" s="26"/>
      <c r="C59" s="26"/>
      <c r="D59" s="26"/>
      <c r="E59" s="26"/>
      <c r="F59" s="26"/>
    </row>
    <row r="60" spans="1:7">
      <c r="A60" s="26"/>
      <c r="B60" s="26"/>
      <c r="C60" s="26"/>
      <c r="D60" s="26"/>
      <c r="E60" s="26"/>
      <c r="F60" s="26"/>
    </row>
    <row r="61" spans="1:7">
      <c r="A61" s="26"/>
      <c r="B61" s="26"/>
      <c r="C61" s="26"/>
      <c r="D61" s="26"/>
      <c r="E61" s="26"/>
      <c r="F61" s="26"/>
    </row>
    <row r="62" spans="1:7">
      <c r="A62" s="26"/>
      <c r="B62" s="26"/>
      <c r="C62" s="26"/>
      <c r="D62" s="26"/>
      <c r="E62" s="26"/>
      <c r="F62" s="26"/>
    </row>
    <row r="63" spans="1:7">
      <c r="A63" s="26"/>
      <c r="B63" s="26"/>
      <c r="C63" s="26"/>
      <c r="D63" s="26"/>
      <c r="E63" s="26"/>
      <c r="F63" s="26"/>
    </row>
    <row r="64" spans="1:7">
      <c r="A64" s="26"/>
      <c r="B64" s="26"/>
      <c r="C64" s="26"/>
      <c r="D64" s="26"/>
      <c r="E64" s="26"/>
      <c r="F64" s="26"/>
    </row>
    <row r="65" spans="1:6">
      <c r="A65" s="26"/>
      <c r="B65" s="26"/>
      <c r="C65" s="26"/>
      <c r="D65" s="26"/>
      <c r="E65" s="26"/>
      <c r="F65" s="26"/>
    </row>
    <row r="66" spans="1:6">
      <c r="A66" s="26"/>
      <c r="B66" s="26"/>
      <c r="C66" s="26"/>
      <c r="D66" s="26"/>
      <c r="E66" s="26"/>
      <c r="F66" s="26"/>
    </row>
    <row r="67" spans="1:6">
      <c r="A67" s="26"/>
      <c r="B67" s="26"/>
      <c r="C67" s="26"/>
      <c r="D67" s="26"/>
      <c r="E67" s="26"/>
      <c r="F67" s="26"/>
    </row>
    <row r="68" spans="1:6">
      <c r="A68" s="26"/>
      <c r="B68" s="26"/>
      <c r="C68" s="26"/>
      <c r="D68" s="26"/>
      <c r="E68" s="26"/>
      <c r="F68" s="26"/>
    </row>
    <row r="69" spans="1:6">
      <c r="A69" s="26"/>
      <c r="B69" s="26"/>
      <c r="C69" s="26"/>
      <c r="D69" s="26"/>
      <c r="E69" s="26"/>
      <c r="F69" s="26"/>
    </row>
    <row r="70" spans="1:6">
      <c r="A70" s="26"/>
      <c r="B70" s="26"/>
      <c r="C70" s="26"/>
      <c r="D70" s="26"/>
      <c r="E70" s="26"/>
      <c r="F70" s="26"/>
    </row>
    <row r="71" spans="1:6">
      <c r="A71" s="26"/>
      <c r="B71" s="26"/>
      <c r="C71" s="26"/>
      <c r="D71" s="26"/>
      <c r="E71" s="26"/>
      <c r="F71" s="26"/>
    </row>
    <row r="72" spans="1:6">
      <c r="A72" s="26"/>
      <c r="B72" s="26"/>
      <c r="C72" s="26"/>
      <c r="D72" s="26"/>
      <c r="E72" s="26"/>
      <c r="F72" s="26"/>
    </row>
    <row r="73" spans="1:6">
      <c r="A73" s="26"/>
      <c r="B73" s="26"/>
      <c r="C73" s="26"/>
      <c r="D73" s="26"/>
      <c r="E73" s="26"/>
      <c r="F73" s="26"/>
    </row>
    <row r="74" spans="1:6">
      <c r="A74" s="26"/>
      <c r="B74" s="26"/>
      <c r="C74" s="26"/>
      <c r="D74" s="26"/>
      <c r="E74" s="26"/>
      <c r="F74" s="26"/>
    </row>
    <row r="75" spans="1:6">
      <c r="A75" s="26"/>
      <c r="B75" s="26"/>
      <c r="C75" s="26"/>
      <c r="D75" s="26"/>
      <c r="E75" s="26"/>
      <c r="F75" s="26"/>
    </row>
    <row r="76" spans="1:6">
      <c r="A76" s="26"/>
      <c r="B76" s="26"/>
      <c r="C76" s="26"/>
      <c r="D76" s="26"/>
      <c r="E76" s="26"/>
      <c r="F76" s="26"/>
    </row>
    <row r="77" spans="1:6">
      <c r="A77" s="26"/>
      <c r="B77" s="26"/>
      <c r="C77" s="26"/>
      <c r="D77" s="26"/>
      <c r="E77" s="26"/>
      <c r="F77" s="26"/>
    </row>
    <row r="78" spans="1:6">
      <c r="A78" s="26"/>
      <c r="B78" s="26"/>
      <c r="C78" s="26"/>
      <c r="D78" s="26"/>
      <c r="E78" s="26"/>
      <c r="F78" s="26"/>
    </row>
    <row r="79" spans="1:6">
      <c r="A79" s="26"/>
      <c r="B79" s="26"/>
      <c r="C79" s="26"/>
      <c r="D79" s="26"/>
      <c r="E79" s="26"/>
      <c r="F79" s="26"/>
    </row>
    <row r="80" spans="1:6">
      <c r="A80" s="26"/>
      <c r="B80" s="26"/>
      <c r="C80" s="26"/>
      <c r="D80" s="26"/>
      <c r="E80" s="26"/>
      <c r="F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26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  <row r="106" spans="1:6">
      <c r="A106" s="26"/>
      <c r="B106" s="26"/>
      <c r="C106" s="26"/>
      <c r="D106" s="26"/>
      <c r="E106" s="26"/>
      <c r="F106" s="26"/>
    </row>
    <row r="107" spans="1:6">
      <c r="A107" s="26"/>
      <c r="B107" s="26"/>
      <c r="C107" s="26"/>
      <c r="D107" s="26"/>
      <c r="E107" s="26"/>
      <c r="F107" s="26"/>
    </row>
    <row r="108" spans="1:6">
      <c r="A108" s="26"/>
      <c r="B108" s="26"/>
      <c r="C108" s="26"/>
      <c r="D108" s="26"/>
      <c r="E108" s="26"/>
      <c r="F108" s="26"/>
    </row>
    <row r="109" spans="1:6">
      <c r="A109" s="26"/>
      <c r="B109" s="26"/>
      <c r="C109" s="26"/>
      <c r="D109" s="26"/>
      <c r="E109" s="26"/>
      <c r="F109" s="26"/>
    </row>
    <row r="110" spans="1:6">
      <c r="A110" s="26"/>
      <c r="B110" s="26"/>
      <c r="C110" s="26"/>
      <c r="D110" s="26"/>
      <c r="E110" s="26"/>
      <c r="F110" s="26"/>
    </row>
    <row r="111" spans="1:6">
      <c r="A111" s="26"/>
      <c r="B111" s="26"/>
      <c r="C111" s="26"/>
      <c r="D111" s="26"/>
      <c r="E111" s="26"/>
      <c r="F111" s="26"/>
    </row>
    <row r="112" spans="1:6">
      <c r="A112" s="26"/>
      <c r="B112" s="26"/>
      <c r="C112" s="26"/>
      <c r="D112" s="26"/>
      <c r="E112" s="26"/>
      <c r="F112" s="26"/>
    </row>
    <row r="113" spans="1:6">
      <c r="A113" s="26"/>
      <c r="B113" s="26"/>
      <c r="C113" s="26"/>
      <c r="D113" s="26"/>
      <c r="E113" s="26"/>
      <c r="F113" s="26"/>
    </row>
    <row r="114" spans="1:6">
      <c r="A114" s="26"/>
      <c r="B114" s="26"/>
      <c r="C114" s="26"/>
      <c r="D114" s="26"/>
      <c r="E114" s="26"/>
      <c r="F114" s="26"/>
    </row>
    <row r="115" spans="1:6">
      <c r="A115" s="26"/>
      <c r="B115" s="26"/>
      <c r="C115" s="26"/>
      <c r="D115" s="26"/>
      <c r="E115" s="26"/>
      <c r="F115" s="26"/>
    </row>
    <row r="116" spans="1:6">
      <c r="A116" s="26"/>
      <c r="B116" s="26"/>
      <c r="C116" s="26"/>
      <c r="D116" s="26"/>
      <c r="E116" s="26"/>
      <c r="F116" s="26"/>
    </row>
    <row r="117" spans="1:6">
      <c r="A117" s="26"/>
      <c r="B117" s="26"/>
      <c r="C117" s="26"/>
      <c r="D117" s="26"/>
      <c r="E117" s="26"/>
      <c r="F117" s="26"/>
    </row>
    <row r="118" spans="1:6">
      <c r="A118" s="26"/>
      <c r="B118" s="26"/>
      <c r="C118" s="26"/>
      <c r="D118" s="26"/>
      <c r="E118" s="26"/>
      <c r="F118" s="26"/>
    </row>
    <row r="119" spans="1:6">
      <c r="A119" s="26"/>
      <c r="B119" s="26"/>
      <c r="C119" s="26"/>
      <c r="D119" s="26"/>
      <c r="E119" s="26"/>
      <c r="F119" s="26"/>
    </row>
    <row r="120" spans="1:6">
      <c r="A120" s="26"/>
      <c r="B120" s="26"/>
      <c r="C120" s="26"/>
      <c r="D120" s="26"/>
      <c r="E120" s="26"/>
      <c r="F120" s="26"/>
    </row>
    <row r="121" spans="1:6">
      <c r="A121" s="26"/>
      <c r="B121" s="26"/>
      <c r="C121" s="26"/>
      <c r="D121" s="26"/>
      <c r="E121" s="26"/>
      <c r="F121" s="26"/>
    </row>
    <row r="122" spans="1:6">
      <c r="A122" s="26"/>
      <c r="B122" s="26"/>
      <c r="C122" s="26"/>
      <c r="D122" s="26"/>
      <c r="E122" s="26"/>
      <c r="F122" s="26"/>
    </row>
    <row r="123" spans="1:6">
      <c r="A123" s="26"/>
      <c r="B123" s="26"/>
      <c r="C123" s="26"/>
      <c r="D123" s="26"/>
      <c r="E123" s="26"/>
      <c r="F123" s="26"/>
    </row>
    <row r="124" spans="1:6">
      <c r="A124" s="26"/>
      <c r="B124" s="26"/>
      <c r="C124" s="26"/>
      <c r="D124" s="26"/>
      <c r="E124" s="26"/>
      <c r="F124" s="26"/>
    </row>
    <row r="125" spans="1:6">
      <c r="A125" s="26"/>
      <c r="B125" s="26"/>
      <c r="C125" s="26"/>
      <c r="D125" s="26"/>
      <c r="E125" s="26"/>
      <c r="F125" s="26"/>
    </row>
    <row r="126" spans="1:6">
      <c r="A126" s="26"/>
      <c r="B126" s="26"/>
      <c r="C126" s="26"/>
      <c r="D126" s="26"/>
      <c r="E126" s="26"/>
      <c r="F126" s="26"/>
    </row>
    <row r="127" spans="1:6">
      <c r="A127" s="26"/>
      <c r="B127" s="26"/>
      <c r="C127" s="26"/>
      <c r="D127" s="26"/>
      <c r="E127" s="26"/>
      <c r="F127" s="26"/>
    </row>
    <row r="128" spans="1:6">
      <c r="A128" s="26"/>
      <c r="B128" s="26"/>
      <c r="C128" s="26"/>
      <c r="D128" s="26"/>
      <c r="E128" s="26"/>
      <c r="F128" s="26"/>
    </row>
    <row r="129" spans="1:6">
      <c r="A129" s="26"/>
      <c r="B129" s="26"/>
      <c r="C129" s="26"/>
      <c r="D129" s="26"/>
      <c r="E129" s="26"/>
      <c r="F129" s="26"/>
    </row>
    <row r="130" spans="1:6">
      <c r="A130" s="26"/>
      <c r="B130" s="26"/>
      <c r="C130" s="26"/>
      <c r="D130" s="26"/>
      <c r="E130" s="26"/>
      <c r="F130" s="26"/>
    </row>
    <row r="131" spans="1:6">
      <c r="A131" s="26"/>
      <c r="B131" s="26"/>
      <c r="C131" s="26"/>
      <c r="D131" s="26"/>
      <c r="E131" s="26"/>
      <c r="F131" s="26"/>
    </row>
    <row r="132" spans="1:6">
      <c r="A132" s="26"/>
      <c r="B132" s="26"/>
      <c r="C132" s="26"/>
      <c r="D132" s="26"/>
      <c r="E132" s="26"/>
      <c r="F132" s="26"/>
    </row>
    <row r="133" spans="1:6">
      <c r="A133" s="26"/>
      <c r="B133" s="26"/>
      <c r="C133" s="26"/>
      <c r="D133" s="26"/>
      <c r="E133" s="26"/>
      <c r="F133" s="26"/>
    </row>
    <row r="134" spans="1:6">
      <c r="A134" s="26"/>
      <c r="B134" s="26"/>
      <c r="C134" s="26"/>
      <c r="D134" s="26"/>
      <c r="E134" s="26"/>
      <c r="F134" s="26"/>
    </row>
    <row r="135" spans="1:6">
      <c r="A135" s="26"/>
      <c r="B135" s="26"/>
      <c r="C135" s="26"/>
      <c r="D135" s="26"/>
      <c r="E135" s="26"/>
      <c r="F135" s="26"/>
    </row>
    <row r="136" spans="1:6">
      <c r="A136" s="26"/>
      <c r="B136" s="26"/>
      <c r="C136" s="26"/>
      <c r="D136" s="26"/>
      <c r="E136" s="26"/>
      <c r="F136" s="26"/>
    </row>
    <row r="137" spans="1:6">
      <c r="A137" s="26"/>
      <c r="B137" s="26"/>
      <c r="C137" s="26"/>
      <c r="D137" s="26"/>
      <c r="E137" s="26"/>
      <c r="F137" s="26"/>
    </row>
    <row r="138" spans="1:6">
      <c r="A138" s="26"/>
      <c r="B138" s="26"/>
      <c r="C138" s="26"/>
      <c r="D138" s="26"/>
      <c r="E138" s="26"/>
      <c r="F138" s="26"/>
    </row>
    <row r="139" spans="1:6">
      <c r="A139" s="26"/>
      <c r="B139" s="26"/>
      <c r="C139" s="26"/>
      <c r="D139" s="26"/>
      <c r="E139" s="26"/>
      <c r="F139" s="26"/>
    </row>
    <row r="140" spans="1:6">
      <c r="A140" s="26"/>
      <c r="B140" s="26"/>
      <c r="C140" s="26"/>
      <c r="D140" s="26"/>
      <c r="E140" s="26"/>
      <c r="F140" s="26"/>
    </row>
    <row r="141" spans="1:6">
      <c r="A141" s="26"/>
      <c r="B141" s="26"/>
      <c r="C141" s="26"/>
      <c r="D141" s="26"/>
      <c r="E141" s="26"/>
      <c r="F141" s="26"/>
    </row>
    <row r="142" spans="1:6">
      <c r="A142" s="26"/>
      <c r="B142" s="26"/>
      <c r="C142" s="26"/>
      <c r="D142" s="26"/>
      <c r="E142" s="26"/>
      <c r="F142" s="26"/>
    </row>
    <row r="143" spans="1:6">
      <c r="A143" s="26"/>
      <c r="B143" s="26"/>
      <c r="C143" s="26"/>
      <c r="D143" s="26"/>
      <c r="E143" s="26"/>
      <c r="F143" s="26"/>
    </row>
    <row r="144" spans="1:6">
      <c r="A144" s="26"/>
      <c r="B144" s="26"/>
      <c r="C144" s="26"/>
      <c r="D144" s="26"/>
      <c r="E144" s="26"/>
      <c r="F144" s="26"/>
    </row>
    <row r="145" spans="1:6">
      <c r="A145" s="26"/>
      <c r="B145" s="26"/>
      <c r="C145" s="26"/>
      <c r="D145" s="26"/>
      <c r="E145" s="26"/>
      <c r="F145" s="26"/>
    </row>
    <row r="146" spans="1:6">
      <c r="A146" s="26"/>
      <c r="B146" s="26"/>
      <c r="C146" s="26"/>
      <c r="D146" s="26"/>
      <c r="E146" s="26"/>
      <c r="F146" s="26"/>
    </row>
    <row r="147" spans="1:6">
      <c r="A147" s="26"/>
      <c r="B147" s="26"/>
      <c r="C147" s="26"/>
      <c r="D147" s="26"/>
      <c r="E147" s="26"/>
      <c r="F147" s="26"/>
    </row>
    <row r="148" spans="1:6">
      <c r="A148" s="26"/>
      <c r="B148" s="26"/>
      <c r="C148" s="26"/>
      <c r="D148" s="26"/>
      <c r="E148" s="26"/>
      <c r="F148" s="26"/>
    </row>
    <row r="149" spans="1:6">
      <c r="A149" s="26"/>
      <c r="B149" s="26"/>
      <c r="C149" s="26"/>
      <c r="D149" s="26"/>
      <c r="E149" s="26"/>
      <c r="F149" s="26"/>
    </row>
    <row r="150" spans="1:6">
      <c r="A150" s="26"/>
      <c r="B150" s="26"/>
      <c r="C150" s="26"/>
      <c r="D150" s="26"/>
      <c r="E150" s="26"/>
      <c r="F150" s="26"/>
    </row>
    <row r="151" spans="1:6">
      <c r="A151" s="26"/>
      <c r="B151" s="26"/>
      <c r="C151" s="26"/>
      <c r="D151" s="26"/>
      <c r="E151" s="26"/>
      <c r="F151" s="26"/>
    </row>
    <row r="152" spans="1:6">
      <c r="A152" s="26"/>
      <c r="B152" s="26"/>
      <c r="C152" s="26"/>
      <c r="D152" s="26"/>
      <c r="E152" s="26"/>
      <c r="F152" s="26"/>
    </row>
    <row r="153" spans="1:6">
      <c r="A153" s="26"/>
      <c r="B153" s="26"/>
      <c r="C153" s="26"/>
      <c r="D153" s="26"/>
      <c r="E153" s="26"/>
      <c r="F153" s="26"/>
    </row>
    <row r="154" spans="1:6">
      <c r="A154" s="26"/>
      <c r="B154" s="26"/>
      <c r="C154" s="26"/>
      <c r="D154" s="26"/>
      <c r="E154" s="26"/>
      <c r="F154" s="26"/>
    </row>
    <row r="155" spans="1:6">
      <c r="A155" s="26"/>
      <c r="B155" s="26"/>
      <c r="C155" s="26"/>
      <c r="D155" s="26"/>
      <c r="E155" s="26"/>
      <c r="F155" s="26"/>
    </row>
    <row r="156" spans="1:6">
      <c r="A156" s="26"/>
      <c r="B156" s="26"/>
      <c r="C156" s="26"/>
      <c r="D156" s="26"/>
      <c r="E156" s="26"/>
      <c r="F156" s="26"/>
    </row>
    <row r="157" spans="1:6">
      <c r="A157" s="26"/>
      <c r="B157" s="26"/>
      <c r="C157" s="26"/>
      <c r="D157" s="26"/>
      <c r="E157" s="26"/>
      <c r="F157" s="26"/>
    </row>
    <row r="158" spans="1:6">
      <c r="A158" s="26"/>
      <c r="B158" s="26"/>
      <c r="C158" s="26"/>
      <c r="D158" s="26"/>
      <c r="E158" s="26"/>
      <c r="F158" s="26"/>
    </row>
    <row r="159" spans="1:6">
      <c r="A159" s="26"/>
      <c r="B159" s="26"/>
      <c r="C159" s="26"/>
      <c r="D159" s="26"/>
      <c r="E159" s="26"/>
      <c r="F159" s="26"/>
    </row>
    <row r="160" spans="1:6">
      <c r="A160" s="26"/>
      <c r="B160" s="26"/>
      <c r="C160" s="26"/>
      <c r="D160" s="26"/>
      <c r="E160" s="26"/>
      <c r="F160" s="26"/>
    </row>
    <row r="161" spans="1:6">
      <c r="A161" s="26"/>
      <c r="B161" s="26"/>
      <c r="C161" s="26"/>
      <c r="D161" s="26"/>
      <c r="E161" s="26"/>
      <c r="F161" s="26"/>
    </row>
    <row r="162" spans="1:6">
      <c r="A162" s="26"/>
      <c r="B162" s="26"/>
      <c r="C162" s="26"/>
      <c r="D162" s="26"/>
      <c r="E162" s="26"/>
      <c r="F162" s="26"/>
    </row>
    <row r="163" spans="1:6">
      <c r="A163" s="26"/>
      <c r="B163" s="26"/>
      <c r="C163" s="26"/>
      <c r="D163" s="26"/>
      <c r="E163" s="26"/>
      <c r="F163" s="26"/>
    </row>
    <row r="164" spans="1:6">
      <c r="A164" s="26"/>
      <c r="B164" s="26"/>
      <c r="C164" s="26"/>
      <c r="D164" s="26"/>
      <c r="E164" s="26"/>
      <c r="F164" s="26"/>
    </row>
    <row r="165" spans="1:6">
      <c r="A165" s="26"/>
      <c r="B165" s="26"/>
      <c r="C165" s="26"/>
      <c r="D165" s="26"/>
      <c r="E165" s="26"/>
      <c r="F165" s="26"/>
    </row>
    <row r="166" spans="1:6">
      <c r="A166" s="26"/>
      <c r="B166" s="26"/>
      <c r="C166" s="26"/>
      <c r="D166" s="26"/>
      <c r="E166" s="26"/>
      <c r="F166" s="26"/>
    </row>
    <row r="167" spans="1:6">
      <c r="A167" s="26"/>
      <c r="B167" s="26"/>
      <c r="C167" s="26"/>
      <c r="D167" s="26"/>
      <c r="E167" s="26"/>
      <c r="F167" s="26"/>
    </row>
    <row r="168" spans="1:6">
      <c r="A168" s="26"/>
      <c r="B168" s="26"/>
      <c r="C168" s="26"/>
      <c r="D168" s="26"/>
      <c r="E168" s="26"/>
      <c r="F168" s="26"/>
    </row>
    <row r="169" spans="1:6">
      <c r="A169" s="26"/>
      <c r="B169" s="26"/>
      <c r="C169" s="26"/>
      <c r="D169" s="26"/>
      <c r="E169" s="26"/>
      <c r="F169" s="26"/>
    </row>
    <row r="170" spans="1:6">
      <c r="A170" s="26"/>
      <c r="B170" s="26"/>
      <c r="C170" s="26"/>
      <c r="D170" s="26"/>
      <c r="E170" s="26"/>
      <c r="F170" s="26"/>
    </row>
    <row r="171" spans="1:6">
      <c r="A171" s="26"/>
      <c r="B171" s="26"/>
      <c r="C171" s="26"/>
      <c r="D171" s="26"/>
      <c r="E171" s="26"/>
      <c r="F171" s="26"/>
    </row>
    <row r="172" spans="1:6">
      <c r="A172" s="26"/>
      <c r="B172" s="26"/>
      <c r="C172" s="26"/>
      <c r="D172" s="26"/>
      <c r="E172" s="26"/>
      <c r="F172" s="26"/>
    </row>
    <row r="173" spans="1:6">
      <c r="A173" s="26"/>
      <c r="B173" s="26"/>
      <c r="C173" s="26"/>
      <c r="D173" s="26"/>
      <c r="E173" s="26"/>
      <c r="F173" s="26"/>
    </row>
    <row r="174" spans="1:6">
      <c r="A174" s="26"/>
      <c r="B174" s="26"/>
      <c r="C174" s="26"/>
      <c r="D174" s="26"/>
      <c r="E174" s="26"/>
      <c r="F174" s="26"/>
    </row>
    <row r="175" spans="1:6">
      <c r="A175" s="26"/>
      <c r="B175" s="26"/>
      <c r="C175" s="26"/>
      <c r="D175" s="26"/>
      <c r="E175" s="26"/>
      <c r="F175" s="26"/>
    </row>
    <row r="176" spans="1:6">
      <c r="A176" s="26"/>
      <c r="B176" s="26"/>
      <c r="C176" s="26"/>
      <c r="D176" s="26"/>
      <c r="E176" s="26"/>
      <c r="F176" s="26"/>
    </row>
    <row r="177" spans="1:6">
      <c r="A177" s="26"/>
      <c r="B177" s="26"/>
      <c r="C177" s="26"/>
      <c r="D177" s="26"/>
      <c r="E177" s="26"/>
      <c r="F177" s="26"/>
    </row>
    <row r="178" spans="1:6">
      <c r="A178" s="26"/>
      <c r="B178" s="26"/>
      <c r="C178" s="26"/>
      <c r="D178" s="26"/>
      <c r="E178" s="26"/>
      <c r="F178" s="26"/>
    </row>
    <row r="179" spans="1:6">
      <c r="A179" s="26"/>
      <c r="B179" s="26"/>
      <c r="C179" s="26"/>
      <c r="D179" s="26"/>
      <c r="E179" s="26"/>
      <c r="F179" s="26"/>
    </row>
    <row r="180" spans="1:6">
      <c r="A180" s="26"/>
      <c r="B180" s="26"/>
      <c r="C180" s="26"/>
      <c r="D180" s="26"/>
      <c r="E180" s="26"/>
      <c r="F180" s="26"/>
    </row>
    <row r="181" spans="1:6">
      <c r="A181" s="26"/>
      <c r="B181" s="26"/>
      <c r="C181" s="26"/>
      <c r="D181" s="26"/>
      <c r="E181" s="26"/>
      <c r="F181" s="26"/>
    </row>
    <row r="182" spans="1:6">
      <c r="A182" s="26"/>
      <c r="B182" s="26"/>
      <c r="C182" s="26"/>
      <c r="D182" s="26"/>
      <c r="E182" s="26"/>
      <c r="F182" s="26"/>
    </row>
    <row r="183" spans="1:6">
      <c r="A183" s="26"/>
      <c r="B183" s="26"/>
      <c r="C183" s="26"/>
      <c r="D183" s="26"/>
      <c r="E183" s="26"/>
      <c r="F183" s="26"/>
    </row>
    <row r="184" spans="1:6">
      <c r="A184" s="26"/>
      <c r="B184" s="26"/>
      <c r="C184" s="26"/>
      <c r="D184" s="26"/>
      <c r="E184" s="26"/>
      <c r="F184" s="26"/>
    </row>
    <row r="185" spans="1:6">
      <c r="A185" s="26"/>
      <c r="B185" s="26"/>
      <c r="C185" s="26"/>
      <c r="D185" s="26"/>
      <c r="E185" s="26"/>
      <c r="F185" s="26"/>
    </row>
    <row r="186" spans="1:6">
      <c r="A186" s="26"/>
      <c r="B186" s="26"/>
      <c r="C186" s="26"/>
      <c r="D186" s="26"/>
      <c r="E186" s="26"/>
      <c r="F186" s="26"/>
    </row>
    <row r="187" spans="1:6">
      <c r="A187" s="26"/>
      <c r="B187" s="26"/>
      <c r="C187" s="26"/>
      <c r="D187" s="26"/>
      <c r="E187" s="26"/>
      <c r="F187" s="26"/>
    </row>
    <row r="188" spans="1:6">
      <c r="A188" s="26"/>
      <c r="B188" s="26"/>
      <c r="C188" s="26"/>
      <c r="D188" s="26"/>
      <c r="E188" s="26"/>
      <c r="F188" s="26"/>
    </row>
    <row r="189" spans="1:6">
      <c r="A189" s="26"/>
      <c r="B189" s="26"/>
      <c r="C189" s="26"/>
      <c r="D189" s="26"/>
      <c r="E189" s="26"/>
      <c r="F189" s="26"/>
    </row>
    <row r="190" spans="1:6">
      <c r="A190" s="26"/>
      <c r="B190" s="26"/>
      <c r="C190" s="26"/>
      <c r="D190" s="26"/>
      <c r="E190" s="26"/>
      <c r="F190" s="26"/>
    </row>
    <row r="191" spans="1:6">
      <c r="A191" s="26"/>
      <c r="B191" s="26"/>
      <c r="C191" s="26"/>
      <c r="D191" s="26"/>
      <c r="E191" s="26"/>
      <c r="F191" s="26"/>
    </row>
    <row r="192" spans="1:6">
      <c r="A192" s="26"/>
      <c r="B192" s="26"/>
      <c r="C192" s="26"/>
      <c r="D192" s="26"/>
      <c r="E192" s="26"/>
      <c r="F192" s="26"/>
    </row>
    <row r="193" spans="1:6">
      <c r="A193" s="26"/>
      <c r="B193" s="26"/>
      <c r="C193" s="26"/>
      <c r="D193" s="26"/>
      <c r="E193" s="26"/>
      <c r="F193" s="26"/>
    </row>
    <row r="194" spans="1:6">
      <c r="A194" s="26"/>
      <c r="B194" s="26"/>
      <c r="C194" s="26"/>
      <c r="D194" s="26"/>
      <c r="E194" s="26"/>
      <c r="F194" s="26"/>
    </row>
    <row r="195" spans="1:6">
      <c r="A195" s="26"/>
      <c r="B195" s="26"/>
      <c r="C195" s="26"/>
      <c r="D195" s="26"/>
      <c r="E195" s="26"/>
      <c r="F195" s="26"/>
    </row>
    <row r="196" spans="1:6">
      <c r="A196" s="26"/>
      <c r="B196" s="26"/>
      <c r="C196" s="26"/>
      <c r="D196" s="26"/>
      <c r="E196" s="26"/>
      <c r="F196" s="26"/>
    </row>
    <row r="197" spans="1:6">
      <c r="A197" s="26"/>
      <c r="B197" s="26"/>
      <c r="C197" s="26"/>
      <c r="D197" s="26"/>
      <c r="E197" s="26"/>
      <c r="F197" s="26"/>
    </row>
    <row r="198" spans="1:6">
      <c r="A198" s="26"/>
      <c r="B198" s="26"/>
      <c r="C198" s="26"/>
      <c r="D198" s="26"/>
      <c r="E198" s="26"/>
      <c r="F198" s="26"/>
    </row>
    <row r="199" spans="1:6">
      <c r="A199" s="26"/>
      <c r="B199" s="26"/>
      <c r="C199" s="26"/>
      <c r="D199" s="26"/>
      <c r="E199" s="26"/>
      <c r="F199" s="26"/>
    </row>
    <row r="200" spans="1:6">
      <c r="A200" s="26"/>
      <c r="B200" s="26"/>
      <c r="C200" s="26"/>
      <c r="D200" s="26"/>
      <c r="E200" s="26"/>
      <c r="F200" s="26"/>
    </row>
    <row r="201" spans="1:6">
      <c r="A201" s="26"/>
      <c r="B201" s="26"/>
      <c r="C201" s="26"/>
      <c r="D201" s="26"/>
      <c r="E201" s="26"/>
      <c r="F201" s="26"/>
    </row>
    <row r="202" spans="1:6">
      <c r="A202" s="26"/>
      <c r="B202" s="26"/>
      <c r="C202" s="26"/>
      <c r="D202" s="26"/>
      <c r="E202" s="26"/>
      <c r="F202" s="26"/>
    </row>
    <row r="203" spans="1:6">
      <c r="A203" s="26"/>
      <c r="B203" s="26"/>
      <c r="C203" s="26"/>
      <c r="D203" s="26"/>
      <c r="E203" s="26"/>
      <c r="F203" s="26"/>
    </row>
    <row r="204" spans="1:6">
      <c r="A204" s="26"/>
      <c r="B204" s="26"/>
      <c r="C204" s="26"/>
      <c r="D204" s="26"/>
      <c r="E204" s="26"/>
      <c r="F204" s="26"/>
    </row>
    <row r="205" spans="1:6">
      <c r="A205" s="26"/>
      <c r="B205" s="26"/>
      <c r="C205" s="26"/>
      <c r="D205" s="26"/>
      <c r="E205" s="26"/>
      <c r="F205" s="26"/>
    </row>
    <row r="206" spans="1:6">
      <c r="A206" s="26"/>
      <c r="B206" s="26"/>
      <c r="C206" s="26"/>
      <c r="D206" s="26"/>
      <c r="E206" s="26"/>
      <c r="F206" s="26"/>
    </row>
    <row r="207" spans="1:6">
      <c r="A207" s="26"/>
      <c r="B207" s="26"/>
      <c r="C207" s="26"/>
      <c r="D207" s="26"/>
      <c r="E207" s="26"/>
      <c r="F207" s="26"/>
    </row>
    <row r="208" spans="1:6">
      <c r="A208" s="26"/>
      <c r="B208" s="26"/>
      <c r="C208" s="26"/>
      <c r="D208" s="26"/>
      <c r="E208" s="26"/>
      <c r="F208" s="26"/>
    </row>
    <row r="209" spans="1:6">
      <c r="A209" s="26"/>
      <c r="B209" s="26"/>
      <c r="C209" s="26"/>
      <c r="D209" s="26"/>
      <c r="E209" s="26"/>
      <c r="F209" s="26"/>
    </row>
    <row r="210" spans="1:6">
      <c r="A210" s="26"/>
      <c r="B210" s="26"/>
      <c r="C210" s="26"/>
      <c r="D210" s="26"/>
      <c r="E210" s="26"/>
      <c r="F210" s="26"/>
    </row>
    <row r="211" spans="1:6">
      <c r="A211" s="26"/>
      <c r="B211" s="26"/>
      <c r="C211" s="26"/>
      <c r="D211" s="26"/>
      <c r="E211" s="26"/>
      <c r="F211" s="26"/>
    </row>
    <row r="212" spans="1:6">
      <c r="A212" s="26"/>
      <c r="B212" s="26"/>
      <c r="C212" s="26"/>
      <c r="D212" s="26"/>
      <c r="E212" s="26"/>
      <c r="F212" s="26"/>
    </row>
    <row r="213" spans="1:6">
      <c r="A213" s="26"/>
      <c r="B213" s="26"/>
      <c r="C213" s="26"/>
      <c r="D213" s="26"/>
      <c r="E213" s="26"/>
      <c r="F213" s="26"/>
    </row>
    <row r="214" spans="1:6">
      <c r="A214" s="26"/>
      <c r="B214" s="26"/>
      <c r="C214" s="26"/>
      <c r="D214" s="26"/>
      <c r="E214" s="26"/>
      <c r="F214" s="26"/>
    </row>
    <row r="215" spans="1:6">
      <c r="A215" s="26"/>
      <c r="B215" s="26"/>
      <c r="C215" s="26"/>
      <c r="D215" s="26"/>
      <c r="E215" s="26"/>
      <c r="F215" s="26"/>
    </row>
    <row r="216" spans="1:6">
      <c r="A216" s="26"/>
      <c r="B216" s="26"/>
      <c r="C216" s="26"/>
      <c r="D216" s="26"/>
      <c r="E216" s="26"/>
      <c r="F216" s="26"/>
    </row>
    <row r="217" spans="1:6">
      <c r="A217" s="26"/>
      <c r="B217" s="26"/>
      <c r="C217" s="26"/>
      <c r="D217" s="26"/>
      <c r="E217" s="26"/>
      <c r="F217" s="26"/>
    </row>
    <row r="218" spans="1:6">
      <c r="A218" s="26"/>
      <c r="B218" s="26"/>
      <c r="C218" s="26"/>
      <c r="D218" s="26"/>
      <c r="E218" s="26"/>
      <c r="F218" s="26"/>
    </row>
    <row r="219" spans="1:6">
      <c r="A219" s="26"/>
      <c r="B219" s="26"/>
      <c r="C219" s="26"/>
      <c r="D219" s="26"/>
      <c r="E219" s="26"/>
      <c r="F219" s="26"/>
    </row>
    <row r="220" spans="1:6">
      <c r="A220" s="26"/>
      <c r="B220" s="26"/>
      <c r="C220" s="26"/>
      <c r="D220" s="26"/>
      <c r="E220" s="26"/>
      <c r="F220" s="26"/>
    </row>
    <row r="221" spans="1:6">
      <c r="A221" s="26"/>
      <c r="B221" s="26"/>
      <c r="C221" s="26"/>
      <c r="D221" s="26"/>
      <c r="E221" s="26"/>
      <c r="F221" s="26"/>
    </row>
    <row r="222" spans="1:6">
      <c r="A222" s="26"/>
      <c r="B222" s="26"/>
      <c r="C222" s="26"/>
      <c r="D222" s="26"/>
      <c r="E222" s="26"/>
      <c r="F222" s="26"/>
    </row>
    <row r="223" spans="1:6">
      <c r="A223" s="26"/>
      <c r="B223" s="26"/>
      <c r="C223" s="26"/>
      <c r="D223" s="26"/>
      <c r="E223" s="26"/>
      <c r="F223" s="26"/>
    </row>
    <row r="224" spans="1:6">
      <c r="A224" s="26"/>
      <c r="B224" s="26"/>
      <c r="C224" s="26"/>
      <c r="D224" s="26"/>
      <c r="E224" s="26"/>
      <c r="F224" s="26"/>
    </row>
    <row r="225" spans="1:6">
      <c r="A225" s="26"/>
      <c r="B225" s="26"/>
      <c r="C225" s="26"/>
      <c r="D225" s="26"/>
      <c r="E225" s="26"/>
      <c r="F225" s="26"/>
    </row>
    <row r="226" spans="1:6">
      <c r="A226" s="26"/>
      <c r="B226" s="26"/>
      <c r="C226" s="26"/>
      <c r="D226" s="26"/>
      <c r="E226" s="26"/>
      <c r="F226" s="26"/>
    </row>
    <row r="227" spans="1:6">
      <c r="A227" s="26"/>
      <c r="B227" s="26"/>
      <c r="C227" s="26"/>
      <c r="D227" s="26"/>
      <c r="E227" s="26"/>
      <c r="F227" s="26"/>
    </row>
    <row r="228" spans="1:6">
      <c r="A228" s="26"/>
      <c r="B228" s="26"/>
      <c r="C228" s="26"/>
      <c r="D228" s="26"/>
      <c r="E228" s="26"/>
      <c r="F228" s="26"/>
    </row>
    <row r="229" spans="1:6">
      <c r="A229" s="26"/>
      <c r="B229" s="26"/>
      <c r="C229" s="26"/>
      <c r="D229" s="26"/>
      <c r="E229" s="26"/>
      <c r="F229" s="26"/>
    </row>
    <row r="230" spans="1:6">
      <c r="A230" s="26"/>
      <c r="B230" s="26"/>
      <c r="C230" s="26"/>
      <c r="D230" s="26"/>
      <c r="E230" s="26"/>
      <c r="F230" s="26"/>
    </row>
    <row r="231" spans="1:6">
      <c r="A231" s="26"/>
      <c r="B231" s="26"/>
      <c r="C231" s="26"/>
      <c r="D231" s="26"/>
      <c r="E231" s="26"/>
      <c r="F231" s="26"/>
    </row>
    <row r="232" spans="1:6">
      <c r="A232" s="26"/>
      <c r="B232" s="26"/>
      <c r="C232" s="26"/>
      <c r="D232" s="26"/>
      <c r="E232" s="26"/>
      <c r="F232" s="26"/>
    </row>
    <row r="233" spans="1:6">
      <c r="A233" s="26"/>
      <c r="B233" s="26"/>
      <c r="C233" s="26"/>
      <c r="D233" s="26"/>
      <c r="E233" s="26"/>
      <c r="F233" s="26"/>
    </row>
    <row r="234" spans="1:6">
      <c r="A234" s="26"/>
      <c r="B234" s="26"/>
      <c r="C234" s="26"/>
      <c r="D234" s="26"/>
      <c r="E234" s="26"/>
      <c r="F234" s="26"/>
    </row>
    <row r="235" spans="1:6">
      <c r="A235" s="26"/>
      <c r="B235" s="26"/>
      <c r="C235" s="26"/>
      <c r="D235" s="26"/>
      <c r="E235" s="26"/>
      <c r="F235" s="26"/>
    </row>
    <row r="236" spans="1:6">
      <c r="A236" s="26"/>
      <c r="B236" s="26"/>
      <c r="C236" s="26"/>
      <c r="D236" s="26"/>
      <c r="E236" s="26"/>
      <c r="F236" s="26"/>
    </row>
    <row r="237" spans="1:6">
      <c r="A237" s="26"/>
      <c r="B237" s="26"/>
      <c r="C237" s="26"/>
      <c r="D237" s="26"/>
      <c r="E237" s="26"/>
      <c r="F237" s="26"/>
    </row>
    <row r="238" spans="1:6">
      <c r="A238" s="26"/>
      <c r="B238" s="26"/>
      <c r="C238" s="26"/>
      <c r="D238" s="26"/>
      <c r="E238" s="26"/>
      <c r="F238" s="26"/>
    </row>
    <row r="239" spans="1:6">
      <c r="A239" s="26"/>
      <c r="B239" s="26"/>
      <c r="C239" s="26"/>
      <c r="D239" s="26"/>
      <c r="E239" s="26"/>
      <c r="F239" s="26"/>
    </row>
    <row r="240" spans="1:6">
      <c r="A240" s="26"/>
      <c r="B240" s="26"/>
      <c r="C240" s="26"/>
      <c r="D240" s="26"/>
      <c r="E240" s="26"/>
      <c r="F240" s="26"/>
    </row>
    <row r="241" spans="1:6">
      <c r="A241" s="26"/>
      <c r="B241" s="26"/>
      <c r="C241" s="26"/>
      <c r="D241" s="26"/>
      <c r="E241" s="26"/>
      <c r="F241" s="26"/>
    </row>
    <row r="242" spans="1:6">
      <c r="A242" s="26"/>
      <c r="B242" s="26"/>
      <c r="C242" s="26"/>
      <c r="D242" s="26"/>
      <c r="E242" s="26"/>
      <c r="F242" s="26"/>
    </row>
    <row r="243" spans="1:6">
      <c r="A243" s="26"/>
      <c r="B243" s="26"/>
      <c r="C243" s="26"/>
      <c r="D243" s="26"/>
      <c r="E243" s="26"/>
      <c r="F243" s="26"/>
    </row>
    <row r="244" spans="1:6">
      <c r="A244" s="26"/>
      <c r="B244" s="26"/>
      <c r="C244" s="26"/>
      <c r="D244" s="26"/>
      <c r="E244" s="26"/>
      <c r="F244" s="26"/>
    </row>
    <row r="245" spans="1:6">
      <c r="A245" s="26"/>
      <c r="B245" s="26"/>
      <c r="C245" s="26"/>
      <c r="D245" s="26"/>
      <c r="E245" s="26"/>
      <c r="F245" s="26"/>
    </row>
    <row r="246" spans="1:6">
      <c r="A246" s="26"/>
      <c r="B246" s="26"/>
      <c r="C246" s="26"/>
      <c r="D246" s="26"/>
      <c r="E246" s="26"/>
      <c r="F246" s="26"/>
    </row>
    <row r="247" spans="1:6">
      <c r="A247" s="26"/>
      <c r="B247" s="26"/>
      <c r="C247" s="26"/>
      <c r="D247" s="26"/>
      <c r="E247" s="26"/>
      <c r="F247" s="26"/>
    </row>
    <row r="248" spans="1:6">
      <c r="A248" s="26"/>
      <c r="B248" s="26"/>
      <c r="C248" s="26"/>
      <c r="D248" s="26"/>
      <c r="E248" s="26"/>
      <c r="F248" s="26"/>
    </row>
    <row r="249" spans="1:6">
      <c r="A249" s="26"/>
      <c r="B249" s="26"/>
      <c r="C249" s="26"/>
      <c r="D249" s="26"/>
      <c r="E249" s="26"/>
      <c r="F249" s="26"/>
    </row>
    <row r="250" spans="1:6">
      <c r="A250" s="26"/>
      <c r="B250" s="26"/>
      <c r="C250" s="26"/>
      <c r="D250" s="26"/>
      <c r="E250" s="26"/>
      <c r="F250" s="26"/>
    </row>
    <row r="251" spans="1:6">
      <c r="A251" s="26"/>
      <c r="B251" s="26"/>
      <c r="C251" s="26"/>
      <c r="D251" s="26"/>
      <c r="E251" s="26"/>
      <c r="F251" s="26"/>
    </row>
    <row r="252" spans="1:6">
      <c r="A252" s="26"/>
      <c r="B252" s="26"/>
      <c r="C252" s="26"/>
      <c r="D252" s="26"/>
      <c r="E252" s="26"/>
      <c r="F252" s="26"/>
    </row>
    <row r="253" spans="1:6">
      <c r="A253" s="26"/>
      <c r="B253" s="26"/>
      <c r="C253" s="26"/>
      <c r="D253" s="26"/>
      <c r="E253" s="26"/>
      <c r="F253" s="26"/>
    </row>
    <row r="254" spans="1:6">
      <c r="A254" s="26"/>
      <c r="B254" s="26"/>
      <c r="C254" s="26"/>
      <c r="D254" s="26"/>
      <c r="E254" s="26"/>
      <c r="F254" s="26"/>
    </row>
    <row r="255" spans="1:6">
      <c r="A255" s="26"/>
      <c r="B255" s="26"/>
      <c r="C255" s="26"/>
      <c r="D255" s="26"/>
      <c r="E255" s="26"/>
      <c r="F255" s="26"/>
    </row>
    <row r="256" spans="1:6">
      <c r="A256" s="26"/>
      <c r="B256" s="26"/>
      <c r="C256" s="26"/>
      <c r="D256" s="26"/>
      <c r="E256" s="26"/>
      <c r="F256" s="26"/>
    </row>
    <row r="257" spans="1:6">
      <c r="A257" s="26"/>
      <c r="B257" s="26"/>
      <c r="C257" s="26"/>
      <c r="D257" s="26"/>
      <c r="E257" s="26"/>
      <c r="F257" s="26"/>
    </row>
    <row r="258" spans="1:6">
      <c r="A258" s="26"/>
      <c r="B258" s="26"/>
      <c r="C258" s="26"/>
      <c r="D258" s="26"/>
      <c r="E258" s="26"/>
      <c r="F258" s="26"/>
    </row>
    <row r="259" spans="1:6">
      <c r="A259" s="26"/>
      <c r="B259" s="26"/>
      <c r="C259" s="26"/>
      <c r="D259" s="26"/>
      <c r="E259" s="26"/>
      <c r="F259" s="26"/>
    </row>
    <row r="260" spans="1:6">
      <c r="A260" s="26"/>
      <c r="B260" s="26"/>
      <c r="C260" s="26"/>
      <c r="D260" s="26"/>
      <c r="E260" s="26"/>
      <c r="F260" s="26"/>
    </row>
    <row r="261" spans="1:6">
      <c r="A261" s="26"/>
      <c r="B261" s="26"/>
      <c r="C261" s="26"/>
      <c r="D261" s="26"/>
      <c r="E261" s="26"/>
      <c r="F261" s="26"/>
    </row>
    <row r="262" spans="1:6">
      <c r="A262" s="26"/>
      <c r="B262" s="26"/>
      <c r="C262" s="26"/>
      <c r="D262" s="26"/>
      <c r="E262" s="26"/>
      <c r="F262" s="26"/>
    </row>
    <row r="263" spans="1:6">
      <c r="A263" s="26"/>
      <c r="B263" s="26"/>
      <c r="C263" s="26"/>
      <c r="D263" s="26"/>
      <c r="E263" s="26"/>
      <c r="F263" s="26"/>
    </row>
    <row r="264" spans="1:6">
      <c r="A264" s="26"/>
      <c r="B264" s="26"/>
      <c r="C264" s="26"/>
      <c r="D264" s="26"/>
      <c r="E264" s="26"/>
      <c r="F264" s="26"/>
    </row>
    <row r="265" spans="1:6">
      <c r="A265" s="26"/>
      <c r="B265" s="26"/>
      <c r="C265" s="26"/>
      <c r="D265" s="26"/>
      <c r="E265" s="26"/>
      <c r="F265" s="26"/>
    </row>
    <row r="266" spans="1:6">
      <c r="A266" s="26"/>
      <c r="B266" s="26"/>
      <c r="C266" s="26"/>
      <c r="D266" s="26"/>
      <c r="E266" s="26"/>
      <c r="F266" s="26"/>
    </row>
    <row r="267" spans="1:6">
      <c r="A267" s="26"/>
      <c r="B267" s="26"/>
      <c r="C267" s="26"/>
      <c r="D267" s="26"/>
      <c r="E267" s="26"/>
      <c r="F267" s="26"/>
    </row>
    <row r="268" spans="1:6">
      <c r="A268" s="26"/>
      <c r="B268" s="26"/>
      <c r="C268" s="26"/>
      <c r="D268" s="26"/>
      <c r="E268" s="26"/>
      <c r="F268" s="26"/>
    </row>
    <row r="269" spans="1:6">
      <c r="A269" s="26"/>
      <c r="B269" s="26"/>
      <c r="C269" s="26"/>
      <c r="D269" s="26"/>
      <c r="E269" s="26"/>
      <c r="F269" s="26"/>
    </row>
    <row r="270" spans="1:6">
      <c r="A270" s="26"/>
      <c r="B270" s="26"/>
      <c r="C270" s="26"/>
      <c r="D270" s="26"/>
      <c r="E270" s="26"/>
      <c r="F270" s="26"/>
    </row>
    <row r="271" spans="1:6">
      <c r="A271" s="26"/>
      <c r="B271" s="26"/>
      <c r="C271" s="26"/>
      <c r="D271" s="26"/>
      <c r="E271" s="26"/>
      <c r="F271" s="26"/>
    </row>
    <row r="272" spans="1:6">
      <c r="A272" s="26"/>
      <c r="B272" s="26"/>
      <c r="C272" s="26"/>
      <c r="D272" s="26"/>
      <c r="E272" s="26"/>
      <c r="F272" s="26"/>
    </row>
    <row r="273" spans="1:6">
      <c r="A273" s="26"/>
      <c r="B273" s="26"/>
      <c r="C273" s="26"/>
      <c r="D273" s="26"/>
      <c r="E273" s="26"/>
      <c r="F273" s="26"/>
    </row>
    <row r="274" spans="1:6">
      <c r="A274" s="26"/>
      <c r="B274" s="26"/>
      <c r="C274" s="26"/>
      <c r="D274" s="26"/>
      <c r="E274" s="26"/>
      <c r="F274" s="26"/>
    </row>
    <row r="275" spans="1:6">
      <c r="A275" s="26"/>
      <c r="B275" s="26"/>
      <c r="C275" s="26"/>
      <c r="D275" s="26"/>
      <c r="E275" s="26"/>
      <c r="F275" s="26"/>
    </row>
    <row r="276" spans="1:6">
      <c r="A276" s="26"/>
      <c r="B276" s="26"/>
      <c r="C276" s="26"/>
      <c r="D276" s="26"/>
      <c r="E276" s="26"/>
      <c r="F276" s="26"/>
    </row>
  </sheetData>
  <pageMargins left="0.7" right="0.7" top="0.75" bottom="0.75" header="0.3" footer="0.3"/>
  <pageSetup paperSize="9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3555-CDD9-47E3-A411-6CEAF63F79EE}">
  <dimension ref="B2:W85"/>
  <sheetViews>
    <sheetView topLeftCell="A27" workbookViewId="0">
      <selection sqref="A1:X87"/>
    </sheetView>
  </sheetViews>
  <sheetFormatPr defaultRowHeight="15"/>
  <cols>
    <col min="1" max="1" width="3.140625" style="5" customWidth="1"/>
    <col min="2" max="2" width="9.140625" style="5"/>
    <col min="3" max="3" width="12.140625" style="29" customWidth="1"/>
    <col min="4" max="4" width="13" style="29" bestFit="1" customWidth="1"/>
    <col min="5" max="5" width="33.42578125" style="29" bestFit="1" customWidth="1"/>
    <col min="6" max="6" width="11.7109375" style="5" bestFit="1" customWidth="1"/>
    <col min="7" max="7" width="9.140625" style="5"/>
    <col min="8" max="8" width="23.7109375" style="5" bestFit="1" customWidth="1"/>
    <col min="9" max="11" width="9.140625" style="5"/>
    <col min="12" max="12" width="9.28515625" style="5" bestFit="1" customWidth="1"/>
    <col min="13" max="21" width="9.140625" style="5"/>
    <col min="22" max="22" width="34" style="5" bestFit="1" customWidth="1"/>
    <col min="23" max="23" width="31.7109375" style="5" bestFit="1" customWidth="1"/>
    <col min="24" max="16384" width="9.140625" style="5"/>
  </cols>
  <sheetData>
    <row r="2" spans="2:23" ht="18.75">
      <c r="B2" s="11" t="s">
        <v>199</v>
      </c>
      <c r="C2" s="28" t="s">
        <v>200</v>
      </c>
      <c r="D2" s="30" t="s">
        <v>201</v>
      </c>
      <c r="E2" s="28" t="s">
        <v>202</v>
      </c>
      <c r="F2" s="12" t="s">
        <v>203</v>
      </c>
      <c r="H2" s="7" t="s">
        <v>204</v>
      </c>
      <c r="I2" s="6">
        <v>473</v>
      </c>
      <c r="K2" s="7" t="s">
        <v>205</v>
      </c>
      <c r="L2" s="7" t="s">
        <v>206</v>
      </c>
      <c r="M2" s="7" t="s">
        <v>207</v>
      </c>
      <c r="N2" s="7" t="s">
        <v>208</v>
      </c>
    </row>
    <row r="3" spans="2:23">
      <c r="B3" s="13">
        <v>0</v>
      </c>
      <c r="C3" s="14">
        <v>0</v>
      </c>
      <c r="D3" s="14">
        <v>473</v>
      </c>
      <c r="E3" s="14">
        <v>0</v>
      </c>
      <c r="F3" s="14">
        <v>473</v>
      </c>
      <c r="H3" s="6" t="s">
        <v>209</v>
      </c>
      <c r="I3" s="6">
        <v>82</v>
      </c>
      <c r="K3" s="15" t="s">
        <v>210</v>
      </c>
      <c r="L3" s="15">
        <v>27</v>
      </c>
      <c r="M3" s="15">
        <v>162</v>
      </c>
      <c r="N3" s="15">
        <f>D30-F30</f>
        <v>0</v>
      </c>
    </row>
    <row r="4" spans="2:23">
      <c r="B4" s="8">
        <f>B3+1</f>
        <v>1</v>
      </c>
      <c r="C4" s="27">
        <f>(I$2/I$3)</f>
        <v>5.7682926829268295</v>
      </c>
      <c r="D4" s="15">
        <f>D3-C4</f>
        <v>467.23170731707319</v>
      </c>
      <c r="E4" s="15">
        <f>F$3 / B$85</f>
        <v>5.7682926829268295</v>
      </c>
      <c r="F4" s="15">
        <f>F3-E4</f>
        <v>467.23170731707319</v>
      </c>
      <c r="H4" s="6" t="s">
        <v>211</v>
      </c>
      <c r="I4" s="6">
        <v>6</v>
      </c>
      <c r="K4" s="16" t="s">
        <v>212</v>
      </c>
      <c r="L4" s="16">
        <v>54</v>
      </c>
      <c r="M4" s="16">
        <v>162</v>
      </c>
      <c r="N4" s="16">
        <f>D57-F57</f>
        <v>161.51219512195163</v>
      </c>
    </row>
    <row r="5" spans="2:23">
      <c r="B5" s="8">
        <f>B4+1</f>
        <v>2</v>
      </c>
      <c r="C5" s="27">
        <f>(I$2/I$3)</f>
        <v>5.7682926829268295</v>
      </c>
      <c r="D5" s="15">
        <f>D4-C5</f>
        <v>461.46341463414637</v>
      </c>
      <c r="E5" s="15">
        <f>F$3 / B$85</f>
        <v>5.7682926829268295</v>
      </c>
      <c r="F5" s="15">
        <f>F4-E5</f>
        <v>461.46341463414637</v>
      </c>
      <c r="K5" s="17" t="s">
        <v>213</v>
      </c>
      <c r="L5" s="17">
        <v>82</v>
      </c>
      <c r="M5" s="17">
        <v>162</v>
      </c>
      <c r="N5" s="17">
        <f>D85-F85</f>
        <v>3.9257486150745535E-13</v>
      </c>
    </row>
    <row r="6" spans="2:23">
      <c r="B6" s="8">
        <f>B5+1</f>
        <v>3</v>
      </c>
      <c r="C6" s="27">
        <f>(I$2/I$3)</f>
        <v>5.7682926829268295</v>
      </c>
      <c r="D6" s="15">
        <f>D5-C6</f>
        <v>455.69512195121956</v>
      </c>
      <c r="E6" s="15">
        <f>F$3 / B$85</f>
        <v>5.7682926829268295</v>
      </c>
      <c r="F6" s="15">
        <f>F5-E6</f>
        <v>455.69512195121956</v>
      </c>
    </row>
    <row r="7" spans="2:23">
      <c r="B7" s="8">
        <f>B6+1</f>
        <v>4</v>
      </c>
      <c r="C7" s="27">
        <f>(I$2/I$3)</f>
        <v>5.7682926829268295</v>
      </c>
      <c r="D7" s="15">
        <f>D6-C7</f>
        <v>449.92682926829275</v>
      </c>
      <c r="E7" s="15">
        <f>F$3 / B$85</f>
        <v>5.7682926829268295</v>
      </c>
      <c r="F7" s="15">
        <f>F6-E7</f>
        <v>449.92682926829275</v>
      </c>
    </row>
    <row r="8" spans="2:23">
      <c r="B8" s="8">
        <f>B7+1</f>
        <v>5</v>
      </c>
      <c r="C8" s="27">
        <f>(I$2/I$3)</f>
        <v>5.7682926829268295</v>
      </c>
      <c r="D8" s="15">
        <f>D7-C8</f>
        <v>444.15853658536594</v>
      </c>
      <c r="E8" s="15">
        <f>F$3 / B$85</f>
        <v>5.7682926829268295</v>
      </c>
      <c r="F8" s="15">
        <f>F7-E8</f>
        <v>444.15853658536594</v>
      </c>
      <c r="V8" s="36" t="s">
        <v>10</v>
      </c>
      <c r="W8" s="36" t="s">
        <v>11</v>
      </c>
    </row>
    <row r="9" spans="2:23">
      <c r="B9" s="8">
        <f>B8+1</f>
        <v>6</v>
      </c>
      <c r="C9" s="27">
        <f>(I$2/I$3)</f>
        <v>5.7682926829268295</v>
      </c>
      <c r="D9" s="15">
        <f>D8-C9</f>
        <v>438.39024390243912</v>
      </c>
      <c r="E9" s="15">
        <f>F$3 / B$85</f>
        <v>5.7682926829268295</v>
      </c>
      <c r="F9" s="15">
        <f>F8-E9</f>
        <v>438.39024390243912</v>
      </c>
      <c r="V9" s="35" t="s">
        <v>19</v>
      </c>
      <c r="W9" s="35" t="s">
        <v>20</v>
      </c>
    </row>
    <row r="10" spans="2:23">
      <c r="B10" s="8">
        <f>B9+1</f>
        <v>7</v>
      </c>
      <c r="C10" s="27">
        <f>(I$2/I$3)</f>
        <v>5.7682926829268295</v>
      </c>
      <c r="D10" s="15">
        <f>D9-C10</f>
        <v>432.62195121951231</v>
      </c>
      <c r="E10" s="15">
        <f>F$3 / B$85</f>
        <v>5.7682926829268295</v>
      </c>
      <c r="F10" s="15">
        <f>F9-E10</f>
        <v>432.62195121951231</v>
      </c>
      <c r="V10" s="35" t="s">
        <v>24</v>
      </c>
      <c r="W10" s="35" t="s">
        <v>25</v>
      </c>
    </row>
    <row r="11" spans="2:23">
      <c r="B11" s="8">
        <f>B10+1</f>
        <v>8</v>
      </c>
      <c r="C11" s="27">
        <f>(I$2/I$3)</f>
        <v>5.7682926829268295</v>
      </c>
      <c r="D11" s="15">
        <f>D10-C11</f>
        <v>426.8536585365855</v>
      </c>
      <c r="E11" s="15">
        <f>F$3 / B$85</f>
        <v>5.7682926829268295</v>
      </c>
      <c r="F11" s="15">
        <f>F10-E11</f>
        <v>426.8536585365855</v>
      </c>
      <c r="V11" s="35" t="s">
        <v>28</v>
      </c>
      <c r="W11" s="35" t="s">
        <v>29</v>
      </c>
    </row>
    <row r="12" spans="2:23">
      <c r="B12" s="8">
        <f>B11+1</f>
        <v>9</v>
      </c>
      <c r="C12" s="27">
        <f>(I$2/I$3)</f>
        <v>5.7682926829268295</v>
      </c>
      <c r="D12" s="15">
        <f>D11-C12</f>
        <v>421.08536585365869</v>
      </c>
      <c r="E12" s="15">
        <f>F$3 / B$85</f>
        <v>5.7682926829268295</v>
      </c>
      <c r="F12" s="15">
        <f>F11-E12</f>
        <v>421.08536585365869</v>
      </c>
      <c r="V12" s="35" t="s">
        <v>33</v>
      </c>
      <c r="W12" s="35" t="s">
        <v>34</v>
      </c>
    </row>
    <row r="13" spans="2:23">
      <c r="B13" s="8">
        <f>B12+1</f>
        <v>10</v>
      </c>
      <c r="C13" s="27">
        <f>(I$2/I$3)</f>
        <v>5.7682926829268295</v>
      </c>
      <c r="D13" s="15">
        <f>D12-C13</f>
        <v>415.31707317073187</v>
      </c>
      <c r="E13" s="15">
        <f>F$3 / B$85</f>
        <v>5.7682926829268295</v>
      </c>
      <c r="F13" s="15">
        <f>F12-E13</f>
        <v>415.31707317073187</v>
      </c>
      <c r="V13" s="35" t="s">
        <v>37</v>
      </c>
      <c r="W13" s="35" t="s">
        <v>38</v>
      </c>
    </row>
    <row r="14" spans="2:23">
      <c r="B14" s="8">
        <f>B13+1</f>
        <v>11</v>
      </c>
      <c r="C14" s="27">
        <f>(I$2/I$3)</f>
        <v>5.7682926829268295</v>
      </c>
      <c r="D14" s="15">
        <f>D13-C14</f>
        <v>409.54878048780506</v>
      </c>
      <c r="E14" s="15">
        <f>F$3 / B$85</f>
        <v>5.7682926829268295</v>
      </c>
      <c r="F14" s="15">
        <f>F13-E14</f>
        <v>409.54878048780506</v>
      </c>
      <c r="V14" s="35" t="s">
        <v>41</v>
      </c>
      <c r="W14" s="35" t="s">
        <v>42</v>
      </c>
    </row>
    <row r="15" spans="2:23">
      <c r="B15" s="8">
        <f>B14+1</f>
        <v>12</v>
      </c>
      <c r="C15" s="27">
        <f>(I$2/I$3)</f>
        <v>5.7682926829268295</v>
      </c>
      <c r="D15" s="15">
        <f>D14-C15</f>
        <v>403.78048780487825</v>
      </c>
      <c r="E15" s="15">
        <f>F$3 / B$85</f>
        <v>5.7682926829268295</v>
      </c>
      <c r="F15" s="15">
        <f>F14-E15</f>
        <v>403.78048780487825</v>
      </c>
    </row>
    <row r="16" spans="2:23">
      <c r="B16" s="8">
        <f>B15+1</f>
        <v>13</v>
      </c>
      <c r="C16" s="27">
        <f>(I$2/I$3)</f>
        <v>5.7682926829268295</v>
      </c>
      <c r="D16" s="15">
        <f>D15-C16</f>
        <v>398.01219512195144</v>
      </c>
      <c r="E16" s="15">
        <f>F$3 / B$85</f>
        <v>5.7682926829268295</v>
      </c>
      <c r="F16" s="15">
        <f>F15-E16</f>
        <v>398.01219512195144</v>
      </c>
    </row>
    <row r="17" spans="2:6">
      <c r="B17" s="8">
        <f>B16+1</f>
        <v>14</v>
      </c>
      <c r="C17" s="27">
        <f>(I$2/I$3)</f>
        <v>5.7682926829268295</v>
      </c>
      <c r="D17" s="15">
        <f>D16-C17</f>
        <v>392.24390243902462</v>
      </c>
      <c r="E17" s="15">
        <f>F$3 / B$85</f>
        <v>5.7682926829268295</v>
      </c>
      <c r="F17" s="15">
        <f>F16-E17</f>
        <v>392.24390243902462</v>
      </c>
    </row>
    <row r="18" spans="2:6">
      <c r="B18" s="8">
        <f>B17+1</f>
        <v>15</v>
      </c>
      <c r="C18" s="27">
        <f>(I$2/I$3)</f>
        <v>5.7682926829268295</v>
      </c>
      <c r="D18" s="15">
        <f>D17-C18</f>
        <v>386.47560975609781</v>
      </c>
      <c r="E18" s="15">
        <f>F$3 / B$85</f>
        <v>5.7682926829268295</v>
      </c>
      <c r="F18" s="15">
        <f>F17-E18</f>
        <v>386.47560975609781</v>
      </c>
    </row>
    <row r="19" spans="2:6">
      <c r="B19" s="8">
        <f>B18+1</f>
        <v>16</v>
      </c>
      <c r="C19" s="27">
        <f>(I$2/I$3)</f>
        <v>5.7682926829268295</v>
      </c>
      <c r="D19" s="15">
        <f>D18-C19</f>
        <v>380.707317073171</v>
      </c>
      <c r="E19" s="15">
        <f>F$3 / B$85</f>
        <v>5.7682926829268295</v>
      </c>
      <c r="F19" s="15">
        <f>F18-E19</f>
        <v>380.707317073171</v>
      </c>
    </row>
    <row r="20" spans="2:6">
      <c r="B20" s="8">
        <f>B19+1</f>
        <v>17</v>
      </c>
      <c r="C20" s="27">
        <f>(I$2/I$3)</f>
        <v>5.7682926829268295</v>
      </c>
      <c r="D20" s="15">
        <f>D19-C20</f>
        <v>374.93902439024419</v>
      </c>
      <c r="E20" s="15">
        <f>F$3 / B$85</f>
        <v>5.7682926829268295</v>
      </c>
      <c r="F20" s="15">
        <f>F19-E20</f>
        <v>374.93902439024419</v>
      </c>
    </row>
    <row r="21" spans="2:6">
      <c r="B21" s="8">
        <f>B20+1</f>
        <v>18</v>
      </c>
      <c r="C21" s="27">
        <f>(I$2/I$3)</f>
        <v>5.7682926829268295</v>
      </c>
      <c r="D21" s="15">
        <f>D20-C21</f>
        <v>369.17073170731737</v>
      </c>
      <c r="E21" s="15">
        <f>F$3 / B$85</f>
        <v>5.7682926829268295</v>
      </c>
      <c r="F21" s="15">
        <f>F20-E21</f>
        <v>369.17073170731737</v>
      </c>
    </row>
    <row r="22" spans="2:6">
      <c r="B22" s="8">
        <f>B21+1</f>
        <v>19</v>
      </c>
      <c r="C22" s="27">
        <f>(I$2/I$3)</f>
        <v>5.7682926829268295</v>
      </c>
      <c r="D22" s="15">
        <f>D21-C22</f>
        <v>363.40243902439056</v>
      </c>
      <c r="E22" s="15">
        <f>F$3 / B$85</f>
        <v>5.7682926829268295</v>
      </c>
      <c r="F22" s="15">
        <f>F21-E22</f>
        <v>363.40243902439056</v>
      </c>
    </row>
    <row r="23" spans="2:6">
      <c r="B23" s="8">
        <f>B22+1</f>
        <v>20</v>
      </c>
      <c r="C23" s="27">
        <f>(I$2/I$3)</f>
        <v>5.7682926829268295</v>
      </c>
      <c r="D23" s="15">
        <f>D22-C23</f>
        <v>357.63414634146375</v>
      </c>
      <c r="E23" s="15">
        <f>F$3 / B$85</f>
        <v>5.7682926829268295</v>
      </c>
      <c r="F23" s="15">
        <f>F22-E23</f>
        <v>357.63414634146375</v>
      </c>
    </row>
    <row r="24" spans="2:6">
      <c r="B24" s="8">
        <f>B23+1</f>
        <v>21</v>
      </c>
      <c r="C24" s="27">
        <f>(I$2/I$3)</f>
        <v>5.7682926829268295</v>
      </c>
      <c r="D24" s="15">
        <f>D23-C24</f>
        <v>351.86585365853693</v>
      </c>
      <c r="E24" s="15">
        <f>F$3 / B$85</f>
        <v>5.7682926829268295</v>
      </c>
      <c r="F24" s="15">
        <f>F23-E24</f>
        <v>351.86585365853693</v>
      </c>
    </row>
    <row r="25" spans="2:6">
      <c r="B25" s="8">
        <f>B24+1</f>
        <v>22</v>
      </c>
      <c r="C25" s="27">
        <f>(I$2/I$3)</f>
        <v>5.7682926829268295</v>
      </c>
      <c r="D25" s="15">
        <f>D24-C25</f>
        <v>346.09756097561012</v>
      </c>
      <c r="E25" s="15">
        <f>F$3 / B$85</f>
        <v>5.7682926829268295</v>
      </c>
      <c r="F25" s="15">
        <f>F24-E25</f>
        <v>346.09756097561012</v>
      </c>
    </row>
    <row r="26" spans="2:6">
      <c r="B26" s="8">
        <f>B25+1</f>
        <v>23</v>
      </c>
      <c r="C26" s="27">
        <f>(I$2/I$3)</f>
        <v>5.7682926829268295</v>
      </c>
      <c r="D26" s="15">
        <f>D25-C26</f>
        <v>340.32926829268331</v>
      </c>
      <c r="E26" s="15">
        <f>F$3 / B$85</f>
        <v>5.7682926829268295</v>
      </c>
      <c r="F26" s="15">
        <f>F25-E26</f>
        <v>340.32926829268331</v>
      </c>
    </row>
    <row r="27" spans="2:6">
      <c r="B27" s="8">
        <f>B26+1</f>
        <v>24</v>
      </c>
      <c r="C27" s="27">
        <f>(I$2/I$3)</f>
        <v>5.7682926829268295</v>
      </c>
      <c r="D27" s="15">
        <f>D26-C27</f>
        <v>334.5609756097565</v>
      </c>
      <c r="E27" s="15">
        <f>F$3 / B$85</f>
        <v>5.7682926829268295</v>
      </c>
      <c r="F27" s="15">
        <f>F26-E27</f>
        <v>334.5609756097565</v>
      </c>
    </row>
    <row r="28" spans="2:6">
      <c r="B28" s="8">
        <f>B27+1</f>
        <v>25</v>
      </c>
      <c r="C28" s="27">
        <f>(I$2/I$3)</f>
        <v>5.7682926829268295</v>
      </c>
      <c r="D28" s="15">
        <f>D27-C28</f>
        <v>328.79268292682968</v>
      </c>
      <c r="E28" s="15">
        <f>F$3 / B$85</f>
        <v>5.7682926829268295</v>
      </c>
      <c r="F28" s="15">
        <f>F27-E28</f>
        <v>328.79268292682968</v>
      </c>
    </row>
    <row r="29" spans="2:6">
      <c r="B29" s="8">
        <f>B28+1</f>
        <v>26</v>
      </c>
      <c r="C29" s="27">
        <f>(I$2/I$3)</f>
        <v>5.7682926829268295</v>
      </c>
      <c r="D29" s="15">
        <f>D28-C29</f>
        <v>323.02439024390287</v>
      </c>
      <c r="E29" s="15">
        <f>F$3 / B$85</f>
        <v>5.7682926829268295</v>
      </c>
      <c r="F29" s="15">
        <f>F28-E29</f>
        <v>323.02439024390287</v>
      </c>
    </row>
    <row r="30" spans="2:6">
      <c r="B30" s="8">
        <f>B29+1</f>
        <v>27</v>
      </c>
      <c r="C30" s="27">
        <f>(I$2/I$3)</f>
        <v>5.7682926829268295</v>
      </c>
      <c r="D30" s="15">
        <f>D29-C30</f>
        <v>317.25609756097606</v>
      </c>
      <c r="E30" s="15">
        <f>F$3 / B$85</f>
        <v>5.7682926829268295</v>
      </c>
      <c r="F30" s="15">
        <f>F29-E30</f>
        <v>317.25609756097606</v>
      </c>
    </row>
    <row r="31" spans="2:6">
      <c r="B31" s="9">
        <f>B30+1</f>
        <v>28</v>
      </c>
      <c r="C31" s="31">
        <f>(I$2/I$3)</f>
        <v>5.7682926829268295</v>
      </c>
      <c r="D31" s="16">
        <f>D30-C31</f>
        <v>311.48780487804925</v>
      </c>
      <c r="E31" s="16">
        <v>3</v>
      </c>
      <c r="F31" s="16">
        <f>F30-E31</f>
        <v>314.25609756097606</v>
      </c>
    </row>
    <row r="32" spans="2:6">
      <c r="B32" s="9">
        <f>B31+1</f>
        <v>29</v>
      </c>
      <c r="C32" s="31">
        <f>(I$2/I$3)</f>
        <v>5.7682926829268295</v>
      </c>
      <c r="D32" s="16">
        <f>D31-C32</f>
        <v>305.71951219512243</v>
      </c>
      <c r="E32" s="16">
        <v>3</v>
      </c>
      <c r="F32" s="16">
        <f>F31-E32</f>
        <v>311.25609756097606</v>
      </c>
    </row>
    <row r="33" spans="2:6">
      <c r="B33" s="9">
        <f>B32+1</f>
        <v>30</v>
      </c>
      <c r="C33" s="31">
        <f>(I$2/I$3)</f>
        <v>5.7682926829268295</v>
      </c>
      <c r="D33" s="16">
        <f>D32-C33</f>
        <v>299.95121951219562</v>
      </c>
      <c r="E33" s="16">
        <v>2</v>
      </c>
      <c r="F33" s="16">
        <f>F32-E33</f>
        <v>309.25609756097606</v>
      </c>
    </row>
    <row r="34" spans="2:6">
      <c r="B34" s="9">
        <f>B33+1</f>
        <v>31</v>
      </c>
      <c r="C34" s="31">
        <f>(I$2/I$3)</f>
        <v>5.7682926829268295</v>
      </c>
      <c r="D34" s="16">
        <f>D33-C34</f>
        <v>294.18292682926881</v>
      </c>
      <c r="E34" s="16">
        <v>1</v>
      </c>
      <c r="F34" s="16">
        <f>F33-E34</f>
        <v>308.25609756097606</v>
      </c>
    </row>
    <row r="35" spans="2:6">
      <c r="B35" s="9">
        <f>B34+1</f>
        <v>32</v>
      </c>
      <c r="C35" s="31">
        <f>(I$2/I$3)</f>
        <v>5.7682926829268295</v>
      </c>
      <c r="D35" s="16">
        <f>D34-C35</f>
        <v>288.414634146342</v>
      </c>
      <c r="E35" s="16">
        <v>12</v>
      </c>
      <c r="F35" s="16">
        <f>F34-E35</f>
        <v>296.25609756097606</v>
      </c>
    </row>
    <row r="36" spans="2:6">
      <c r="B36" s="9">
        <f>B35+1</f>
        <v>33</v>
      </c>
      <c r="C36" s="31">
        <f>(I$2/I$3)</f>
        <v>5.7682926829268295</v>
      </c>
      <c r="D36" s="16">
        <f>D35-C36</f>
        <v>282.64634146341518</v>
      </c>
      <c r="E36" s="16">
        <v>13</v>
      </c>
      <c r="F36" s="16">
        <f>F35-E36</f>
        <v>283.25609756097606</v>
      </c>
    </row>
    <row r="37" spans="2:6">
      <c r="B37" s="9">
        <f>B36+1</f>
        <v>34</v>
      </c>
      <c r="C37" s="31">
        <f>(I$2/I$3)</f>
        <v>5.7682926829268295</v>
      </c>
      <c r="D37" s="16">
        <f>D36-C37</f>
        <v>276.87804878048837</v>
      </c>
      <c r="E37" s="16">
        <v>12</v>
      </c>
      <c r="F37" s="16">
        <f>F36-E37</f>
        <v>271.25609756097606</v>
      </c>
    </row>
    <row r="38" spans="2:6">
      <c r="B38" s="9">
        <f>B37+1</f>
        <v>35</v>
      </c>
      <c r="C38" s="31">
        <f>(I$2/I$3)</f>
        <v>5.7682926829268295</v>
      </c>
      <c r="D38" s="16">
        <f>D37-C38</f>
        <v>271.10975609756156</v>
      </c>
      <c r="E38" s="16">
        <v>5</v>
      </c>
      <c r="F38" s="16">
        <f>F37-E38</f>
        <v>266.25609756097606</v>
      </c>
    </row>
    <row r="39" spans="2:6">
      <c r="B39" s="9">
        <f>B38+1</f>
        <v>36</v>
      </c>
      <c r="C39" s="31">
        <f>(I$2/I$3)</f>
        <v>5.7682926829268295</v>
      </c>
      <c r="D39" s="16">
        <f>D38-C39</f>
        <v>265.34146341463475</v>
      </c>
      <c r="E39" s="16">
        <v>0</v>
      </c>
      <c r="F39" s="16">
        <f>F38-E39</f>
        <v>266.25609756097606</v>
      </c>
    </row>
    <row r="40" spans="2:6">
      <c r="B40" s="9">
        <f>B39+1</f>
        <v>37</v>
      </c>
      <c r="C40" s="31">
        <f>(I$2/I$3)</f>
        <v>5.7682926829268295</v>
      </c>
      <c r="D40" s="16">
        <f>D39-C40</f>
        <v>259.57317073170793</v>
      </c>
      <c r="E40" s="16">
        <v>0</v>
      </c>
      <c r="F40" s="16">
        <f>F39-E40</f>
        <v>266.25609756097606</v>
      </c>
    </row>
    <row r="41" spans="2:6">
      <c r="B41" s="9">
        <f>B40+1</f>
        <v>38</v>
      </c>
      <c r="C41" s="31">
        <f>(I$2/I$3)</f>
        <v>5.7682926829268295</v>
      </c>
      <c r="D41" s="16">
        <f>D40-C41</f>
        <v>253.80487804878109</v>
      </c>
      <c r="E41" s="16">
        <v>4</v>
      </c>
      <c r="F41" s="16">
        <f>F40-E41</f>
        <v>262.25609756097606</v>
      </c>
    </row>
    <row r="42" spans="2:6">
      <c r="B42" s="9">
        <f>B41+1</f>
        <v>39</v>
      </c>
      <c r="C42" s="31">
        <f>(I$2/I$3)</f>
        <v>5.7682926829268295</v>
      </c>
      <c r="D42" s="16">
        <f>D41-C42</f>
        <v>248.03658536585425</v>
      </c>
      <c r="E42" s="16">
        <v>5</v>
      </c>
      <c r="F42" s="16">
        <f>F41-E42</f>
        <v>257.25609756097606</v>
      </c>
    </row>
    <row r="43" spans="2:6">
      <c r="B43" s="9">
        <f>B42+1</f>
        <v>40</v>
      </c>
      <c r="C43" s="31">
        <f>(I$2/I$3)</f>
        <v>5.7682926829268295</v>
      </c>
      <c r="D43" s="16">
        <f>D42-C43</f>
        <v>242.26829268292741</v>
      </c>
      <c r="E43" s="16">
        <v>8</v>
      </c>
      <c r="F43" s="16">
        <f>F42-E43</f>
        <v>249.25609756097606</v>
      </c>
    </row>
    <row r="44" spans="2:6">
      <c r="B44" s="9">
        <f>B43+1</f>
        <v>41</v>
      </c>
      <c r="C44" s="31">
        <f>(I$2/I$3)</f>
        <v>5.7682926829268295</v>
      </c>
      <c r="D44" s="16">
        <f>D43-C44</f>
        <v>236.50000000000057</v>
      </c>
      <c r="E44" s="16">
        <v>8</v>
      </c>
      <c r="F44" s="16">
        <f>F43-E44</f>
        <v>241.25609756097606</v>
      </c>
    </row>
    <row r="45" spans="2:6">
      <c r="B45" s="9">
        <f>B44+1</f>
        <v>42</v>
      </c>
      <c r="C45" s="31">
        <f>(I$2/I$3)</f>
        <v>5.7682926829268295</v>
      </c>
      <c r="D45" s="16">
        <f>D44-C45</f>
        <v>230.73170731707373</v>
      </c>
      <c r="E45" s="16">
        <v>6</v>
      </c>
      <c r="F45" s="16">
        <f>F44-E45</f>
        <v>235.25609756097606</v>
      </c>
    </row>
    <row r="46" spans="2:6">
      <c r="B46" s="9">
        <f>B45+1</f>
        <v>43</v>
      </c>
      <c r="C46" s="31">
        <f>(I$2/I$3)</f>
        <v>5.7682926829268295</v>
      </c>
      <c r="D46" s="16">
        <f>D45-C46</f>
        <v>224.96341463414689</v>
      </c>
      <c r="E46" s="16"/>
      <c r="F46" s="16"/>
    </row>
    <row r="47" spans="2:6">
      <c r="B47" s="9">
        <f>B46+1</f>
        <v>44</v>
      </c>
      <c r="C47" s="31">
        <f>(I$2/I$3)</f>
        <v>5.7682926829268295</v>
      </c>
      <c r="D47" s="16">
        <f>D46-C47</f>
        <v>219.19512195122005</v>
      </c>
      <c r="E47" s="16"/>
      <c r="F47" s="16"/>
    </row>
    <row r="48" spans="2:6">
      <c r="B48" s="9">
        <f>B47+1</f>
        <v>45</v>
      </c>
      <c r="C48" s="31">
        <f>(I$2/I$3)</f>
        <v>5.7682926829268295</v>
      </c>
      <c r="D48" s="16">
        <f>D47-C48</f>
        <v>213.4268292682932</v>
      </c>
      <c r="E48" s="16"/>
      <c r="F48" s="16"/>
    </row>
    <row r="49" spans="2:6">
      <c r="B49" s="9">
        <f>B48+1</f>
        <v>46</v>
      </c>
      <c r="C49" s="31">
        <f>(I$2/I$3)</f>
        <v>5.7682926829268295</v>
      </c>
      <c r="D49" s="16">
        <f>D48-C49</f>
        <v>207.65853658536636</v>
      </c>
      <c r="E49" s="16"/>
      <c r="F49" s="16"/>
    </row>
    <row r="50" spans="2:6">
      <c r="B50" s="9">
        <f>B49+1</f>
        <v>47</v>
      </c>
      <c r="C50" s="31">
        <f>(I$2/I$3)</f>
        <v>5.7682926829268295</v>
      </c>
      <c r="D50" s="16">
        <f>D49-C50</f>
        <v>201.89024390243952</v>
      </c>
      <c r="E50" s="16"/>
      <c r="F50" s="16"/>
    </row>
    <row r="51" spans="2:6">
      <c r="B51" s="9">
        <f>B50+1</f>
        <v>48</v>
      </c>
      <c r="C51" s="31">
        <f>(I$2/I$3)</f>
        <v>5.7682926829268295</v>
      </c>
      <c r="D51" s="16">
        <f>D50-C51</f>
        <v>196.12195121951268</v>
      </c>
      <c r="E51" s="16"/>
      <c r="F51" s="16"/>
    </row>
    <row r="52" spans="2:6">
      <c r="B52" s="9">
        <f>B51+1</f>
        <v>49</v>
      </c>
      <c r="C52" s="31">
        <f>(I$2/I$3)</f>
        <v>5.7682926829268295</v>
      </c>
      <c r="D52" s="16">
        <f>D51-C52</f>
        <v>190.35365853658584</v>
      </c>
      <c r="E52" s="16"/>
      <c r="F52" s="16"/>
    </row>
    <row r="53" spans="2:6">
      <c r="B53" s="9">
        <f>B52+1</f>
        <v>50</v>
      </c>
      <c r="C53" s="31">
        <f>(I$2/I$3)</f>
        <v>5.7682926829268295</v>
      </c>
      <c r="D53" s="16">
        <f>D52-C53</f>
        <v>184.585365853659</v>
      </c>
      <c r="E53" s="16"/>
      <c r="F53" s="16"/>
    </row>
    <row r="54" spans="2:6">
      <c r="B54" s="9">
        <f>B53+1</f>
        <v>51</v>
      </c>
      <c r="C54" s="31">
        <f>(I$2/I$3)</f>
        <v>5.7682926829268295</v>
      </c>
      <c r="D54" s="16">
        <f>D53-C54</f>
        <v>178.81707317073216</v>
      </c>
      <c r="E54" s="16"/>
      <c r="F54" s="16"/>
    </row>
    <row r="55" spans="2:6">
      <c r="B55" s="9">
        <f>B54+1</f>
        <v>52</v>
      </c>
      <c r="C55" s="31">
        <f>(I$2/I$3)</f>
        <v>5.7682926829268295</v>
      </c>
      <c r="D55" s="16">
        <f>D54-C55</f>
        <v>173.04878048780532</v>
      </c>
      <c r="E55" s="16"/>
      <c r="F55" s="16"/>
    </row>
    <row r="56" spans="2:6">
      <c r="B56" s="9">
        <f>B55+1</f>
        <v>53</v>
      </c>
      <c r="C56" s="31">
        <f>(I$2/I$3)</f>
        <v>5.7682926829268295</v>
      </c>
      <c r="D56" s="16">
        <f>D55-C56</f>
        <v>167.28048780487848</v>
      </c>
      <c r="E56" s="16"/>
      <c r="F56" s="16"/>
    </row>
    <row r="57" spans="2:6">
      <c r="B57" s="9">
        <f>B56+1</f>
        <v>54</v>
      </c>
      <c r="C57" s="31">
        <f>(I$2/I$3)</f>
        <v>5.7682926829268295</v>
      </c>
      <c r="D57" s="16">
        <f>D56-C57</f>
        <v>161.51219512195163</v>
      </c>
      <c r="E57" s="16"/>
      <c r="F57" s="16"/>
    </row>
    <row r="58" spans="2:6">
      <c r="B58" s="10">
        <f>B57+1</f>
        <v>55</v>
      </c>
      <c r="C58" s="32">
        <f>(I$2/I$3)</f>
        <v>5.7682926829268295</v>
      </c>
      <c r="D58" s="17">
        <f>D57-C58</f>
        <v>155.74390243902479</v>
      </c>
      <c r="E58" s="17"/>
      <c r="F58" s="17"/>
    </row>
    <row r="59" spans="2:6">
      <c r="B59" s="10">
        <f>B58+1</f>
        <v>56</v>
      </c>
      <c r="C59" s="32">
        <f>(I$2/I$3)</f>
        <v>5.7682926829268295</v>
      </c>
      <c r="D59" s="17">
        <f>D58-C59</f>
        <v>149.97560975609795</v>
      </c>
      <c r="E59" s="17"/>
      <c r="F59" s="17"/>
    </row>
    <row r="60" spans="2:6">
      <c r="B60" s="10">
        <f>B59+1</f>
        <v>57</v>
      </c>
      <c r="C60" s="32">
        <f>(I$2/I$3)</f>
        <v>5.7682926829268295</v>
      </c>
      <c r="D60" s="17">
        <f>D59-C60</f>
        <v>144.20731707317111</v>
      </c>
      <c r="E60" s="17"/>
      <c r="F60" s="17"/>
    </row>
    <row r="61" spans="2:6">
      <c r="B61" s="10">
        <f>B60+1</f>
        <v>58</v>
      </c>
      <c r="C61" s="32">
        <f>(I$2/I$3)</f>
        <v>5.7682926829268295</v>
      </c>
      <c r="D61" s="17">
        <f>D60-C61</f>
        <v>138.43902439024427</v>
      </c>
      <c r="E61" s="17"/>
      <c r="F61" s="17"/>
    </row>
    <row r="62" spans="2:6">
      <c r="B62" s="10">
        <f>B61+1</f>
        <v>59</v>
      </c>
      <c r="C62" s="32">
        <f>(I$2/I$3)</f>
        <v>5.7682926829268295</v>
      </c>
      <c r="D62" s="17">
        <f>D61-C62</f>
        <v>132.67073170731743</v>
      </c>
      <c r="E62" s="17"/>
      <c r="F62" s="17"/>
    </row>
    <row r="63" spans="2:6">
      <c r="B63" s="10">
        <f>B62+1</f>
        <v>60</v>
      </c>
      <c r="C63" s="32">
        <f>(I$2/I$3)</f>
        <v>5.7682926829268295</v>
      </c>
      <c r="D63" s="17">
        <f>D62-C63</f>
        <v>126.9024390243906</v>
      </c>
      <c r="E63" s="17"/>
      <c r="F63" s="17"/>
    </row>
    <row r="64" spans="2:6">
      <c r="B64" s="10">
        <f>B63+1</f>
        <v>61</v>
      </c>
      <c r="C64" s="32">
        <f>(I$2/I$3)</f>
        <v>5.7682926829268295</v>
      </c>
      <c r="D64" s="17">
        <f>D63-C64</f>
        <v>121.13414634146378</v>
      </c>
      <c r="E64" s="17"/>
      <c r="F64" s="17"/>
    </row>
    <row r="65" spans="2:6">
      <c r="B65" s="10">
        <f>B64+1</f>
        <v>62</v>
      </c>
      <c r="C65" s="32">
        <f>(I$2/I$3)</f>
        <v>5.7682926829268295</v>
      </c>
      <c r="D65" s="17">
        <f>D64-C65</f>
        <v>115.36585365853695</v>
      </c>
      <c r="E65" s="17"/>
      <c r="F65" s="17"/>
    </row>
    <row r="66" spans="2:6">
      <c r="B66" s="10">
        <f>B65+1</f>
        <v>63</v>
      </c>
      <c r="C66" s="32">
        <f>(I$2/I$3)</f>
        <v>5.7682926829268295</v>
      </c>
      <c r="D66" s="17">
        <f>D65-C66</f>
        <v>109.59756097561012</v>
      </c>
      <c r="E66" s="17"/>
      <c r="F66" s="17"/>
    </row>
    <row r="67" spans="2:6">
      <c r="B67" s="10">
        <f>B66+1</f>
        <v>64</v>
      </c>
      <c r="C67" s="32">
        <f>(I$2/I$3)</f>
        <v>5.7682926829268295</v>
      </c>
      <c r="D67" s="17">
        <f>D66-C67</f>
        <v>103.8292682926833</v>
      </c>
      <c r="E67" s="17"/>
      <c r="F67" s="17"/>
    </row>
    <row r="68" spans="2:6">
      <c r="B68" s="10">
        <f>B67+1</f>
        <v>65</v>
      </c>
      <c r="C68" s="32">
        <f>(I$2/I$3)</f>
        <v>5.7682926829268295</v>
      </c>
      <c r="D68" s="17">
        <f>D67-C68</f>
        <v>98.060975609756468</v>
      </c>
      <c r="E68" s="17"/>
      <c r="F68" s="17"/>
    </row>
    <row r="69" spans="2:6">
      <c r="B69" s="10">
        <f>B68+1</f>
        <v>66</v>
      </c>
      <c r="C69" s="32">
        <f>(I$2/I$3)</f>
        <v>5.7682926829268295</v>
      </c>
      <c r="D69" s="17">
        <f>D68-C69</f>
        <v>92.292682926829642</v>
      </c>
      <c r="E69" s="17"/>
      <c r="F69" s="17"/>
    </row>
    <row r="70" spans="2:6">
      <c r="B70" s="10">
        <f>B69+1</f>
        <v>67</v>
      </c>
      <c r="C70" s="32">
        <f>(I$2/I$3)</f>
        <v>5.7682926829268295</v>
      </c>
      <c r="D70" s="17">
        <f>D69-C70</f>
        <v>86.524390243902815</v>
      </c>
      <c r="E70" s="17"/>
      <c r="F70" s="17"/>
    </row>
    <row r="71" spans="2:6">
      <c r="B71" s="10">
        <f>B70+1</f>
        <v>68</v>
      </c>
      <c r="C71" s="32">
        <f>(I$2/I$3)</f>
        <v>5.7682926829268295</v>
      </c>
      <c r="D71" s="17">
        <f>D70-C71</f>
        <v>80.756097560975988</v>
      </c>
      <c r="E71" s="17"/>
      <c r="F71" s="17"/>
    </row>
    <row r="72" spans="2:6">
      <c r="B72" s="10">
        <f>B71+1</f>
        <v>69</v>
      </c>
      <c r="C72" s="32">
        <f>(I$2/I$3)</f>
        <v>5.7682926829268295</v>
      </c>
      <c r="D72" s="17">
        <f>D71-C72</f>
        <v>74.987804878049161</v>
      </c>
      <c r="E72" s="17"/>
      <c r="F72" s="17"/>
    </row>
    <row r="73" spans="2:6">
      <c r="B73" s="10">
        <f>B72+1</f>
        <v>70</v>
      </c>
      <c r="C73" s="32">
        <f>(I$2/I$3)</f>
        <v>5.7682926829268295</v>
      </c>
      <c r="D73" s="17">
        <f>D72-C73</f>
        <v>69.219512195122334</v>
      </c>
      <c r="E73" s="17"/>
      <c r="F73" s="17"/>
    </row>
    <row r="74" spans="2:6">
      <c r="B74" s="10">
        <f>B73+1</f>
        <v>71</v>
      </c>
      <c r="C74" s="32">
        <f>(I$2/I$3)</f>
        <v>5.7682926829268295</v>
      </c>
      <c r="D74" s="17">
        <f>D73-C74</f>
        <v>63.451219512195507</v>
      </c>
      <c r="E74" s="17"/>
      <c r="F74" s="17"/>
    </row>
    <row r="75" spans="2:6">
      <c r="B75" s="10">
        <f>B74+1</f>
        <v>72</v>
      </c>
      <c r="C75" s="32">
        <f>(I$2/I$3)</f>
        <v>5.7682926829268295</v>
      </c>
      <c r="D75" s="17">
        <f>D74-C75</f>
        <v>57.682926829268681</v>
      </c>
      <c r="E75" s="17"/>
      <c r="F75" s="17"/>
    </row>
    <row r="76" spans="2:6">
      <c r="B76" s="10">
        <f>B75+1</f>
        <v>73</v>
      </c>
      <c r="C76" s="32">
        <f>(I$2/I$3)</f>
        <v>5.7682926829268295</v>
      </c>
      <c r="D76" s="17">
        <f>D75-C76</f>
        <v>51.914634146341854</v>
      </c>
      <c r="E76" s="17"/>
      <c r="F76" s="17"/>
    </row>
    <row r="77" spans="2:6">
      <c r="B77" s="10">
        <f>B76+1</f>
        <v>74</v>
      </c>
      <c r="C77" s="32">
        <f>(I$2/I$3)</f>
        <v>5.7682926829268295</v>
      </c>
      <c r="D77" s="17">
        <f>D76-C77</f>
        <v>46.146341463415027</v>
      </c>
      <c r="E77" s="17"/>
      <c r="F77" s="17"/>
    </row>
    <row r="78" spans="2:6">
      <c r="B78" s="10">
        <f>B77+1</f>
        <v>75</v>
      </c>
      <c r="C78" s="32">
        <f>(I$2/I$3)</f>
        <v>5.7682926829268295</v>
      </c>
      <c r="D78" s="17">
        <f>D77-C78</f>
        <v>40.3780487804882</v>
      </c>
      <c r="E78" s="17"/>
      <c r="F78" s="17"/>
    </row>
    <row r="79" spans="2:6">
      <c r="B79" s="10">
        <f>B78+1</f>
        <v>76</v>
      </c>
      <c r="C79" s="32">
        <f>(I$2/I$3)</f>
        <v>5.7682926829268295</v>
      </c>
      <c r="D79" s="17">
        <f>D78-C79</f>
        <v>34.609756097561373</v>
      </c>
      <c r="E79" s="17"/>
      <c r="F79" s="17"/>
    </row>
    <row r="80" spans="2:6">
      <c r="B80" s="10">
        <f>B79+1</f>
        <v>77</v>
      </c>
      <c r="C80" s="32">
        <f>(I$2/I$3)</f>
        <v>5.7682926829268295</v>
      </c>
      <c r="D80" s="17">
        <f>D79-C80</f>
        <v>28.841463414634543</v>
      </c>
      <c r="E80" s="17"/>
      <c r="F80" s="17"/>
    </row>
    <row r="81" spans="2:6">
      <c r="B81" s="10">
        <f>B80+1</f>
        <v>78</v>
      </c>
      <c r="C81" s="32">
        <f>(I$2/I$3)</f>
        <v>5.7682926829268295</v>
      </c>
      <c r="D81" s="17">
        <f>D80-C81</f>
        <v>23.073170731707712</v>
      </c>
      <c r="E81" s="17"/>
      <c r="F81" s="17"/>
    </row>
    <row r="82" spans="2:6">
      <c r="B82" s="10">
        <f>B81+1</f>
        <v>79</v>
      </c>
      <c r="C82" s="32">
        <f>(I$2/I$3)</f>
        <v>5.7682926829268295</v>
      </c>
      <c r="D82" s="17">
        <f>D81-C82</f>
        <v>17.304878048780882</v>
      </c>
      <c r="E82" s="17"/>
      <c r="F82" s="17"/>
    </row>
    <row r="83" spans="2:6">
      <c r="B83" s="10">
        <f>B82+1</f>
        <v>80</v>
      </c>
      <c r="C83" s="32">
        <f>(I$2/I$3)</f>
        <v>5.7682926829268295</v>
      </c>
      <c r="D83" s="17">
        <f>D82-C83</f>
        <v>11.536585365854052</v>
      </c>
      <c r="E83" s="17"/>
      <c r="F83" s="17"/>
    </row>
    <row r="84" spans="2:6">
      <c r="B84" s="10">
        <f>B83+1</f>
        <v>81</v>
      </c>
      <c r="C84" s="32">
        <f>(I$2/I$3)</f>
        <v>5.7682926829268295</v>
      </c>
      <c r="D84" s="17">
        <f>D83-C84</f>
        <v>5.7682926829272221</v>
      </c>
      <c r="E84" s="17"/>
      <c r="F84" s="17"/>
    </row>
    <row r="85" spans="2:6">
      <c r="B85" s="10">
        <f>B84+1</f>
        <v>82</v>
      </c>
      <c r="C85" s="32">
        <f>(I$2/I$3)</f>
        <v>5.7682926829268295</v>
      </c>
      <c r="D85" s="17">
        <f>D84-C85</f>
        <v>3.9257486150745535E-13</v>
      </c>
      <c r="E85" s="17"/>
      <c r="F85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2026-04-03T22:45:44Z</dcterms:created>
  <dcterms:modified xsi:type="dcterms:W3CDTF">2026-04-13T14:46:39Z</dcterms:modified>
  <cp:category/>
  <cp:contentStatus/>
</cp:coreProperties>
</file>